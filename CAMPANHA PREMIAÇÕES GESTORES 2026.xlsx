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19e20ef1ea7258/"/>
    </mc:Choice>
  </mc:AlternateContent>
  <xr:revisionPtr revIDLastSave="1" documentId="14_{C34EFCD0-B877-43C1-8190-4DA4087583ED}" xr6:coauthVersionLast="47" xr6:coauthVersionMax="47" xr10:uidLastSave="{8A1B00A1-BB99-419E-8202-F5ADB1D3EAC7}"/>
  <bookViews>
    <workbookView xWindow="-120" yWindow="-120" windowWidth="20730" windowHeight="11400" tabRatio="500" xr2:uid="{00000000-000D-0000-FFFF-FFFF00000000}"/>
  </bookViews>
  <sheets>
    <sheet name="RESULTADO PARCIAL (GESTORES)" sheetId="2" r:id="rId1"/>
    <sheet name="RESULTADO PARCIAL (CONSULTORES)" sheetId="3" r:id="rId2"/>
  </sheets>
  <definedNames>
    <definedName name="_xlnm._FilterDatabase" localSheetId="1" hidden="1">'RESULTADO PARCIAL (CONSULTORES)'!$B$2:$G$1085</definedName>
    <definedName name="_xlnm._FilterDatabase" localSheetId="0" hidden="1">'RESULTADO PARCIAL (GESTORES)'!$B$2:$G$50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2" l="1"/>
  <c r="F24" i="2" s="1"/>
  <c r="G24" i="2" s="1"/>
  <c r="E26" i="2"/>
  <c r="F26" i="2" s="1"/>
  <c r="G26" i="2" s="1"/>
  <c r="E954" i="3"/>
  <c r="F954" i="3" s="1"/>
  <c r="G954" i="3" s="1"/>
  <c r="E955" i="3"/>
  <c r="F955" i="3" s="1"/>
  <c r="G955" i="3" s="1"/>
  <c r="E956" i="3"/>
  <c r="F956" i="3" s="1"/>
  <c r="G956" i="3" s="1"/>
  <c r="E957" i="3"/>
  <c r="F957" i="3" s="1"/>
  <c r="G957" i="3" s="1"/>
  <c r="E958" i="3"/>
  <c r="F958" i="3" s="1"/>
  <c r="G958" i="3" s="1"/>
  <c r="E959" i="3"/>
  <c r="F959" i="3" s="1"/>
  <c r="G959" i="3" s="1"/>
  <c r="E960" i="3"/>
  <c r="F960" i="3" s="1"/>
  <c r="G960" i="3" s="1"/>
  <c r="E961" i="3"/>
  <c r="F961" i="3" s="1"/>
  <c r="G961" i="3" s="1"/>
  <c r="E962" i="3"/>
  <c r="F962" i="3" s="1"/>
  <c r="G962" i="3" s="1"/>
  <c r="E963" i="3"/>
  <c r="F963" i="3" s="1"/>
  <c r="G963" i="3" s="1"/>
  <c r="E964" i="3"/>
  <c r="F964" i="3" s="1"/>
  <c r="G964" i="3" s="1"/>
  <c r="E965" i="3"/>
  <c r="F965" i="3" s="1"/>
  <c r="G965" i="3" s="1"/>
  <c r="E966" i="3"/>
  <c r="F966" i="3" s="1"/>
  <c r="G966" i="3" s="1"/>
  <c r="E967" i="3"/>
  <c r="F967" i="3" s="1"/>
  <c r="G967" i="3" s="1"/>
  <c r="E968" i="3"/>
  <c r="F968" i="3" s="1"/>
  <c r="G968" i="3" s="1"/>
  <c r="E969" i="3"/>
  <c r="F969" i="3" s="1"/>
  <c r="G969" i="3" s="1"/>
  <c r="E970" i="3"/>
  <c r="F970" i="3" s="1"/>
  <c r="G970" i="3" s="1"/>
  <c r="E971" i="3"/>
  <c r="F971" i="3" s="1"/>
  <c r="G971" i="3" s="1"/>
  <c r="E972" i="3"/>
  <c r="F972" i="3" s="1"/>
  <c r="G972" i="3" s="1"/>
  <c r="E973" i="3"/>
  <c r="F973" i="3" s="1"/>
  <c r="G973" i="3" s="1"/>
  <c r="E974" i="3"/>
  <c r="F974" i="3" s="1"/>
  <c r="G974" i="3" s="1"/>
  <c r="E975" i="3"/>
  <c r="F975" i="3" s="1"/>
  <c r="G975" i="3" s="1"/>
  <c r="E976" i="3"/>
  <c r="F976" i="3" s="1"/>
  <c r="G976" i="3" s="1"/>
  <c r="E977" i="3"/>
  <c r="F977" i="3" s="1"/>
  <c r="G977" i="3" s="1"/>
  <c r="E978" i="3"/>
  <c r="F978" i="3" s="1"/>
  <c r="G978" i="3" s="1"/>
  <c r="E979" i="3"/>
  <c r="F979" i="3" s="1"/>
  <c r="G979" i="3" s="1"/>
  <c r="E980" i="3"/>
  <c r="F980" i="3" s="1"/>
  <c r="G980" i="3" s="1"/>
  <c r="E981" i="3"/>
  <c r="F981" i="3" s="1"/>
  <c r="G981" i="3" s="1"/>
  <c r="E982" i="3"/>
  <c r="F982" i="3" s="1"/>
  <c r="G982" i="3" s="1"/>
  <c r="E983" i="3"/>
  <c r="F983" i="3" s="1"/>
  <c r="G983" i="3" s="1"/>
  <c r="E984" i="3"/>
  <c r="F984" i="3" s="1"/>
  <c r="G984" i="3" s="1"/>
  <c r="E985" i="3"/>
  <c r="F985" i="3" s="1"/>
  <c r="G985" i="3" s="1"/>
  <c r="E986" i="3"/>
  <c r="F986" i="3" s="1"/>
  <c r="G986" i="3" s="1"/>
  <c r="E987" i="3"/>
  <c r="F987" i="3" s="1"/>
  <c r="G987" i="3" s="1"/>
  <c r="E988" i="3"/>
  <c r="F988" i="3" s="1"/>
  <c r="G988" i="3" s="1"/>
  <c r="E989" i="3"/>
  <c r="F989" i="3" s="1"/>
  <c r="G989" i="3" s="1"/>
  <c r="E990" i="3"/>
  <c r="F990" i="3" s="1"/>
  <c r="G990" i="3" s="1"/>
  <c r="E991" i="3"/>
  <c r="F991" i="3" s="1"/>
  <c r="G991" i="3" s="1"/>
  <c r="E992" i="3"/>
  <c r="F992" i="3" s="1"/>
  <c r="G992" i="3" s="1"/>
  <c r="E993" i="3"/>
  <c r="F993" i="3" s="1"/>
  <c r="G993" i="3" s="1"/>
  <c r="E994" i="3"/>
  <c r="F994" i="3" s="1"/>
  <c r="G994" i="3" s="1"/>
  <c r="E995" i="3"/>
  <c r="F995" i="3" s="1"/>
  <c r="G995" i="3" s="1"/>
  <c r="E996" i="3"/>
  <c r="F996" i="3" s="1"/>
  <c r="G996" i="3" s="1"/>
  <c r="E997" i="3"/>
  <c r="F997" i="3" s="1"/>
  <c r="G997" i="3" s="1"/>
  <c r="E998" i="3"/>
  <c r="F998" i="3" s="1"/>
  <c r="G998" i="3" s="1"/>
  <c r="E999" i="3"/>
  <c r="F999" i="3" s="1"/>
  <c r="G999" i="3" s="1"/>
  <c r="E1000" i="3"/>
  <c r="F1000" i="3" s="1"/>
  <c r="G1000" i="3" s="1"/>
  <c r="E1001" i="3"/>
  <c r="F1001" i="3" s="1"/>
  <c r="G1001" i="3" s="1"/>
  <c r="E1002" i="3"/>
  <c r="F1002" i="3" s="1"/>
  <c r="G1002" i="3" s="1"/>
  <c r="E1003" i="3"/>
  <c r="F1003" i="3" s="1"/>
  <c r="G1003" i="3" s="1"/>
  <c r="E1004" i="3"/>
  <c r="F1004" i="3" s="1"/>
  <c r="G1004" i="3" s="1"/>
  <c r="E1005" i="3"/>
  <c r="F1005" i="3" s="1"/>
  <c r="G1005" i="3" s="1"/>
  <c r="E1006" i="3"/>
  <c r="F1006" i="3" s="1"/>
  <c r="G1006" i="3" s="1"/>
  <c r="E1007" i="3"/>
  <c r="F1007" i="3" s="1"/>
  <c r="G1007" i="3" s="1"/>
  <c r="E1008" i="3"/>
  <c r="F1008" i="3" s="1"/>
  <c r="G1008" i="3" s="1"/>
  <c r="E1009" i="3"/>
  <c r="F1009" i="3" s="1"/>
  <c r="G1009" i="3" s="1"/>
  <c r="E1010" i="3"/>
  <c r="F1010" i="3" s="1"/>
  <c r="G1010" i="3" s="1"/>
  <c r="E1011" i="3"/>
  <c r="F1011" i="3" s="1"/>
  <c r="G1011" i="3" s="1"/>
  <c r="E1012" i="3"/>
  <c r="F1012" i="3" s="1"/>
  <c r="G1012" i="3" s="1"/>
  <c r="E1013" i="3"/>
  <c r="F1013" i="3" s="1"/>
  <c r="G1013" i="3" s="1"/>
  <c r="E1014" i="3"/>
  <c r="F1014" i="3" s="1"/>
  <c r="G1014" i="3" s="1"/>
  <c r="E1015" i="3"/>
  <c r="F1015" i="3" s="1"/>
  <c r="G1015" i="3" s="1"/>
  <c r="E1016" i="3"/>
  <c r="F1016" i="3" s="1"/>
  <c r="G1016" i="3" s="1"/>
  <c r="E1017" i="3"/>
  <c r="F1017" i="3" s="1"/>
  <c r="G1017" i="3" s="1"/>
  <c r="E1018" i="3"/>
  <c r="F1018" i="3" s="1"/>
  <c r="G1018" i="3" s="1"/>
  <c r="E1019" i="3"/>
  <c r="F1019" i="3" s="1"/>
  <c r="G1019" i="3" s="1"/>
  <c r="E1020" i="3"/>
  <c r="F1020" i="3" s="1"/>
  <c r="G1020" i="3" s="1"/>
  <c r="E1021" i="3"/>
  <c r="F1021" i="3" s="1"/>
  <c r="G1021" i="3" s="1"/>
  <c r="E1022" i="3"/>
  <c r="F1022" i="3" s="1"/>
  <c r="G1022" i="3" s="1"/>
  <c r="E1023" i="3"/>
  <c r="F1023" i="3" s="1"/>
  <c r="G1023" i="3" s="1"/>
  <c r="E1024" i="3"/>
  <c r="F1024" i="3" s="1"/>
  <c r="G1024" i="3" s="1"/>
  <c r="E1025" i="3"/>
  <c r="F1025" i="3" s="1"/>
  <c r="G1025" i="3" s="1"/>
  <c r="E1026" i="3"/>
  <c r="F1026" i="3" s="1"/>
  <c r="G1026" i="3" s="1"/>
  <c r="E1027" i="3"/>
  <c r="F1027" i="3" s="1"/>
  <c r="G1027" i="3" s="1"/>
  <c r="E1028" i="3"/>
  <c r="F1028" i="3" s="1"/>
  <c r="G1028" i="3" s="1"/>
  <c r="E1029" i="3"/>
  <c r="F1029" i="3" s="1"/>
  <c r="G1029" i="3" s="1"/>
  <c r="E1030" i="3"/>
  <c r="F1030" i="3" s="1"/>
  <c r="G1030" i="3" s="1"/>
  <c r="E1031" i="3"/>
  <c r="F1031" i="3" s="1"/>
  <c r="G1031" i="3" s="1"/>
  <c r="E1032" i="3"/>
  <c r="F1032" i="3" s="1"/>
  <c r="G1032" i="3" s="1"/>
  <c r="E1033" i="3"/>
  <c r="F1033" i="3" s="1"/>
  <c r="G1033" i="3" s="1"/>
  <c r="E1034" i="3"/>
  <c r="F1034" i="3" s="1"/>
  <c r="G1034" i="3" s="1"/>
  <c r="E1035" i="3"/>
  <c r="F1035" i="3" s="1"/>
  <c r="G1035" i="3" s="1"/>
  <c r="E1036" i="3"/>
  <c r="F1036" i="3" s="1"/>
  <c r="G1036" i="3" s="1"/>
  <c r="E1037" i="3"/>
  <c r="F1037" i="3" s="1"/>
  <c r="G1037" i="3" s="1"/>
  <c r="E1038" i="3"/>
  <c r="F1038" i="3" s="1"/>
  <c r="G1038" i="3" s="1"/>
  <c r="E1039" i="3"/>
  <c r="F1039" i="3" s="1"/>
  <c r="G1039" i="3" s="1"/>
  <c r="E1040" i="3"/>
  <c r="F1040" i="3" s="1"/>
  <c r="G1040" i="3" s="1"/>
  <c r="E1041" i="3"/>
  <c r="F1041" i="3" s="1"/>
  <c r="G1041" i="3" s="1"/>
  <c r="E1042" i="3"/>
  <c r="F1042" i="3" s="1"/>
  <c r="G1042" i="3" s="1"/>
  <c r="E1043" i="3"/>
  <c r="F1043" i="3" s="1"/>
  <c r="G1043" i="3" s="1"/>
  <c r="E1044" i="3"/>
  <c r="F1044" i="3" s="1"/>
  <c r="G1044" i="3" s="1"/>
  <c r="E1045" i="3"/>
  <c r="F1045" i="3" s="1"/>
  <c r="G1045" i="3" s="1"/>
  <c r="E1046" i="3"/>
  <c r="F1046" i="3" s="1"/>
  <c r="G1046" i="3" s="1"/>
  <c r="E1047" i="3"/>
  <c r="F1047" i="3" s="1"/>
  <c r="G1047" i="3" s="1"/>
  <c r="E1048" i="3"/>
  <c r="F1048" i="3" s="1"/>
  <c r="G1048" i="3" s="1"/>
  <c r="E1049" i="3"/>
  <c r="F1049" i="3" s="1"/>
  <c r="G1049" i="3" s="1"/>
  <c r="E1050" i="3"/>
  <c r="F1050" i="3" s="1"/>
  <c r="G1050" i="3" s="1"/>
  <c r="E1051" i="3"/>
  <c r="F1051" i="3" s="1"/>
  <c r="G1051" i="3" s="1"/>
  <c r="E1052" i="3"/>
  <c r="F1052" i="3" s="1"/>
  <c r="G1052" i="3" s="1"/>
  <c r="E1053" i="3"/>
  <c r="F1053" i="3" s="1"/>
  <c r="G1053" i="3" s="1"/>
  <c r="E1054" i="3"/>
  <c r="F1054" i="3" s="1"/>
  <c r="G1054" i="3" s="1"/>
  <c r="E1055" i="3"/>
  <c r="F1055" i="3" s="1"/>
  <c r="G1055" i="3" s="1"/>
  <c r="E1056" i="3"/>
  <c r="F1056" i="3" s="1"/>
  <c r="G1056" i="3" s="1"/>
  <c r="E1057" i="3"/>
  <c r="F1057" i="3" s="1"/>
  <c r="G1057" i="3" s="1"/>
  <c r="E1058" i="3"/>
  <c r="F1058" i="3" s="1"/>
  <c r="G1058" i="3" s="1"/>
  <c r="E1059" i="3"/>
  <c r="F1059" i="3" s="1"/>
  <c r="G1059" i="3" s="1"/>
  <c r="E1060" i="3"/>
  <c r="F1060" i="3" s="1"/>
  <c r="G1060" i="3" s="1"/>
  <c r="E1061" i="3"/>
  <c r="F1061" i="3" s="1"/>
  <c r="G1061" i="3" s="1"/>
  <c r="E1062" i="3"/>
  <c r="F1062" i="3" s="1"/>
  <c r="G1062" i="3" s="1"/>
  <c r="E1063" i="3"/>
  <c r="F1063" i="3" s="1"/>
  <c r="G1063" i="3" s="1"/>
  <c r="E1064" i="3"/>
  <c r="F1064" i="3" s="1"/>
  <c r="G1064" i="3" s="1"/>
  <c r="E1065" i="3"/>
  <c r="F1065" i="3" s="1"/>
  <c r="G1065" i="3" s="1"/>
  <c r="E1066" i="3"/>
  <c r="F1066" i="3" s="1"/>
  <c r="G1066" i="3" s="1"/>
  <c r="E1067" i="3"/>
  <c r="F1067" i="3" s="1"/>
  <c r="G1067" i="3" s="1"/>
  <c r="E1068" i="3"/>
  <c r="F1068" i="3" s="1"/>
  <c r="G1068" i="3" s="1"/>
  <c r="E1069" i="3"/>
  <c r="F1069" i="3" s="1"/>
  <c r="G1069" i="3" s="1"/>
  <c r="E1070" i="3"/>
  <c r="F1070" i="3" s="1"/>
  <c r="G1070" i="3" s="1"/>
  <c r="E1071" i="3"/>
  <c r="F1071" i="3" s="1"/>
  <c r="G1071" i="3" s="1"/>
  <c r="E1072" i="3"/>
  <c r="F1072" i="3" s="1"/>
  <c r="G1072" i="3" s="1"/>
  <c r="E1073" i="3"/>
  <c r="F1073" i="3" s="1"/>
  <c r="G1073" i="3" s="1"/>
  <c r="E1074" i="3"/>
  <c r="F1074" i="3" s="1"/>
  <c r="G1074" i="3" s="1"/>
  <c r="E1075" i="3"/>
  <c r="F1075" i="3" s="1"/>
  <c r="G1075" i="3" s="1"/>
  <c r="E1076" i="3"/>
  <c r="F1076" i="3" s="1"/>
  <c r="G1076" i="3" s="1"/>
  <c r="E1077" i="3"/>
  <c r="F1077" i="3" s="1"/>
  <c r="G1077" i="3" s="1"/>
  <c r="E1078" i="3"/>
  <c r="F1078" i="3" s="1"/>
  <c r="G1078" i="3" s="1"/>
  <c r="E1079" i="3"/>
  <c r="F1079" i="3" s="1"/>
  <c r="G1079" i="3" s="1"/>
  <c r="E1080" i="3"/>
  <c r="F1080" i="3" s="1"/>
  <c r="G1080" i="3" s="1"/>
  <c r="E1081" i="3"/>
  <c r="F1081" i="3" s="1"/>
  <c r="G1081" i="3" s="1"/>
  <c r="E1082" i="3"/>
  <c r="F1082" i="3" s="1"/>
  <c r="G1082" i="3" s="1"/>
  <c r="E1083" i="3"/>
  <c r="F1083" i="3" s="1"/>
  <c r="G1083" i="3" s="1"/>
  <c r="E1084" i="3"/>
  <c r="F1084" i="3" s="1"/>
  <c r="G1084" i="3" s="1"/>
  <c r="E1085" i="3"/>
  <c r="F1085" i="3" s="1"/>
  <c r="G1085" i="3" s="1"/>
  <c r="E8" i="2"/>
  <c r="F8" i="2" s="1"/>
  <c r="G8" i="2" s="1"/>
  <c r="E4" i="2"/>
  <c r="F4" i="2" s="1"/>
  <c r="G4" i="2" s="1"/>
  <c r="E9" i="2"/>
  <c r="F9" i="2" s="1"/>
  <c r="G9" i="2" s="1"/>
  <c r="E11" i="2"/>
  <c r="F11" i="2" s="1"/>
  <c r="G11" i="2" s="1"/>
  <c r="E3" i="2"/>
  <c r="F3" i="2" s="1"/>
  <c r="G3" i="2" s="1"/>
  <c r="E14" i="2"/>
  <c r="F14" i="2" s="1"/>
  <c r="G14" i="2" s="1"/>
  <c r="E10" i="2"/>
  <c r="F10" i="2" s="1"/>
  <c r="G10" i="2" s="1"/>
  <c r="E13" i="2"/>
  <c r="F13" i="2" s="1"/>
  <c r="E12" i="2"/>
  <c r="F12" i="2" s="1"/>
  <c r="G12" i="2" s="1"/>
  <c r="E15" i="2"/>
  <c r="F15" i="2" s="1"/>
  <c r="G15" i="2" s="1"/>
  <c r="E17" i="2"/>
  <c r="F17" i="2" s="1"/>
  <c r="G17" i="2" s="1"/>
  <c r="E27" i="2"/>
  <c r="F27" i="2" s="1"/>
  <c r="G27" i="2" s="1"/>
  <c r="E28" i="2"/>
  <c r="F28" i="2" s="1"/>
  <c r="G28" i="2" s="1"/>
  <c r="E22" i="2"/>
  <c r="F22" i="2" s="1"/>
  <c r="G22" i="2" s="1"/>
  <c r="E16" i="2"/>
  <c r="F16" i="2" s="1"/>
  <c r="G16" i="2" s="1"/>
  <c r="E7" i="2"/>
  <c r="F7" i="2" s="1"/>
  <c r="G7" i="2" s="1"/>
  <c r="E19" i="2"/>
  <c r="F19" i="2" s="1"/>
  <c r="G19" i="2" s="1"/>
  <c r="E20" i="2"/>
  <c r="F20" i="2" s="1"/>
  <c r="G20" i="2" s="1"/>
  <c r="E23" i="2"/>
  <c r="F23" i="2" s="1"/>
  <c r="G23" i="2" s="1"/>
  <c r="E18" i="2"/>
  <c r="F18" i="2" s="1"/>
  <c r="G18" i="2" s="1"/>
  <c r="E25" i="2"/>
  <c r="F25" i="2" s="1"/>
  <c r="G25" i="2" s="1"/>
  <c r="E6" i="2"/>
  <c r="F6" i="2" s="1"/>
  <c r="G6" i="2" s="1"/>
  <c r="E31" i="2"/>
  <c r="F31" i="2" s="1"/>
  <c r="G31" i="2" s="1"/>
  <c r="E21" i="2"/>
  <c r="F21" i="2" s="1"/>
  <c r="G21" i="2" s="1"/>
  <c r="E29" i="2"/>
  <c r="F29" i="2" s="1"/>
  <c r="G29" i="2" s="1"/>
  <c r="E32" i="2"/>
  <c r="F32" i="2" s="1"/>
  <c r="G32" i="2" s="1"/>
  <c r="E33" i="2"/>
  <c r="F33" i="2" s="1"/>
  <c r="G33" i="2" s="1"/>
  <c r="E36" i="2"/>
  <c r="F36" i="2" s="1"/>
  <c r="G36" i="2" s="1"/>
  <c r="E30" i="2"/>
  <c r="F30" i="2" s="1"/>
  <c r="G30" i="2" s="1"/>
  <c r="E35" i="2"/>
  <c r="F35" i="2" s="1"/>
  <c r="G35" i="2" s="1"/>
  <c r="E44" i="2"/>
  <c r="F44" i="2" s="1"/>
  <c r="G44" i="2" s="1"/>
  <c r="E34" i="2"/>
  <c r="F34" i="2" s="1"/>
  <c r="G34" i="2" s="1"/>
  <c r="E40" i="2"/>
  <c r="F40" i="2" s="1"/>
  <c r="G40" i="2" s="1"/>
  <c r="E37" i="2"/>
  <c r="F37" i="2" s="1"/>
  <c r="G37" i="2" s="1"/>
  <c r="E42" i="2"/>
  <c r="F42" i="2" s="1"/>
  <c r="G42" i="2" s="1"/>
  <c r="E41" i="2"/>
  <c r="E45" i="2"/>
  <c r="F45" i="2" s="1"/>
  <c r="G45" i="2" s="1"/>
  <c r="E43" i="2"/>
  <c r="F43" i="2" s="1"/>
  <c r="G43" i="2" s="1"/>
  <c r="E38" i="2"/>
  <c r="F38" i="2" s="1"/>
  <c r="G38" i="2" s="1"/>
  <c r="E46" i="2"/>
  <c r="F46" i="2" s="1"/>
  <c r="G46" i="2" s="1"/>
  <c r="E47" i="2"/>
  <c r="F47" i="2" s="1"/>
  <c r="G47" i="2" s="1"/>
  <c r="E48" i="2"/>
  <c r="F48" i="2" s="1"/>
  <c r="G48" i="2" s="1"/>
  <c r="E50" i="2"/>
  <c r="F50" i="2" s="1"/>
  <c r="G50" i="2" s="1"/>
  <c r="E49" i="2"/>
  <c r="F49" i="2" s="1"/>
  <c r="G49" i="2" s="1"/>
  <c r="E39" i="2"/>
  <c r="F39" i="2" s="1"/>
  <c r="G39" i="2" s="1"/>
  <c r="E4" i="3"/>
  <c r="F4" i="3" s="1"/>
  <c r="G4" i="3" s="1"/>
  <c r="E5" i="3"/>
  <c r="F5" i="3" s="1"/>
  <c r="G5" i="3" s="1"/>
  <c r="E6" i="3"/>
  <c r="F6" i="3" s="1"/>
  <c r="G6" i="3" s="1"/>
  <c r="E7" i="3"/>
  <c r="F7" i="3" s="1"/>
  <c r="G7" i="3" s="1"/>
  <c r="E8" i="3"/>
  <c r="F8" i="3" s="1"/>
  <c r="G8" i="3" s="1"/>
  <c r="E9" i="3"/>
  <c r="F9" i="3" s="1"/>
  <c r="G9" i="3" s="1"/>
  <c r="E10" i="3"/>
  <c r="F10" i="3" s="1"/>
  <c r="G10" i="3" s="1"/>
  <c r="E11" i="3"/>
  <c r="F11" i="3" s="1"/>
  <c r="G11" i="3" s="1"/>
  <c r="E12" i="3"/>
  <c r="F12" i="3" s="1"/>
  <c r="G12" i="3" s="1"/>
  <c r="E13" i="3"/>
  <c r="F13" i="3" s="1"/>
  <c r="G13" i="3" s="1"/>
  <c r="E14" i="3"/>
  <c r="F14" i="3" s="1"/>
  <c r="G14" i="3" s="1"/>
  <c r="E15" i="3"/>
  <c r="F15" i="3" s="1"/>
  <c r="G15" i="3" s="1"/>
  <c r="E16" i="3"/>
  <c r="F16" i="3" s="1"/>
  <c r="G16" i="3" s="1"/>
  <c r="E17" i="3"/>
  <c r="F17" i="3" s="1"/>
  <c r="G17" i="3" s="1"/>
  <c r="E18" i="3"/>
  <c r="F18" i="3" s="1"/>
  <c r="G18" i="3" s="1"/>
  <c r="E19" i="3"/>
  <c r="F19" i="3" s="1"/>
  <c r="G19" i="3" s="1"/>
  <c r="E20" i="3"/>
  <c r="F20" i="3" s="1"/>
  <c r="G20" i="3" s="1"/>
  <c r="E21" i="3"/>
  <c r="F21" i="3" s="1"/>
  <c r="G21" i="3" s="1"/>
  <c r="E22" i="3"/>
  <c r="F22" i="3" s="1"/>
  <c r="G22" i="3" s="1"/>
  <c r="E23" i="3"/>
  <c r="F23" i="3" s="1"/>
  <c r="G23" i="3" s="1"/>
  <c r="E24" i="3"/>
  <c r="F24" i="3" s="1"/>
  <c r="G24" i="3" s="1"/>
  <c r="E25" i="3"/>
  <c r="F25" i="3" s="1"/>
  <c r="G25" i="3" s="1"/>
  <c r="E26" i="3"/>
  <c r="F26" i="3" s="1"/>
  <c r="G26" i="3" s="1"/>
  <c r="E27" i="3"/>
  <c r="F27" i="3" s="1"/>
  <c r="G27" i="3" s="1"/>
  <c r="E28" i="3"/>
  <c r="F28" i="3" s="1"/>
  <c r="G28" i="3" s="1"/>
  <c r="E29" i="3"/>
  <c r="F29" i="3" s="1"/>
  <c r="G29" i="3" s="1"/>
  <c r="E30" i="3"/>
  <c r="F30" i="3" s="1"/>
  <c r="G30" i="3" s="1"/>
  <c r="E31" i="3"/>
  <c r="F31" i="3" s="1"/>
  <c r="G31" i="3" s="1"/>
  <c r="E32" i="3"/>
  <c r="F32" i="3" s="1"/>
  <c r="G32" i="3" s="1"/>
  <c r="E33" i="3"/>
  <c r="F33" i="3" s="1"/>
  <c r="G33" i="3" s="1"/>
  <c r="E34" i="3"/>
  <c r="F34" i="3" s="1"/>
  <c r="G34" i="3" s="1"/>
  <c r="E35" i="3"/>
  <c r="F35" i="3" s="1"/>
  <c r="G35" i="3" s="1"/>
  <c r="E36" i="3"/>
  <c r="F36" i="3" s="1"/>
  <c r="G36" i="3" s="1"/>
  <c r="E37" i="3"/>
  <c r="F37" i="3" s="1"/>
  <c r="G37" i="3" s="1"/>
  <c r="E38" i="3"/>
  <c r="F38" i="3" s="1"/>
  <c r="G38" i="3" s="1"/>
  <c r="E39" i="3"/>
  <c r="F39" i="3" s="1"/>
  <c r="G39" i="3" s="1"/>
  <c r="E40" i="3"/>
  <c r="F40" i="3" s="1"/>
  <c r="G40" i="3" s="1"/>
  <c r="E41" i="3"/>
  <c r="F41" i="3" s="1"/>
  <c r="G41" i="3" s="1"/>
  <c r="E42" i="3"/>
  <c r="F42" i="3" s="1"/>
  <c r="G42" i="3" s="1"/>
  <c r="E43" i="3"/>
  <c r="F43" i="3" s="1"/>
  <c r="G43" i="3" s="1"/>
  <c r="E44" i="3"/>
  <c r="F44" i="3" s="1"/>
  <c r="G44" i="3" s="1"/>
  <c r="E45" i="3"/>
  <c r="F45" i="3" s="1"/>
  <c r="G45" i="3" s="1"/>
  <c r="E46" i="3"/>
  <c r="F46" i="3" s="1"/>
  <c r="G46" i="3" s="1"/>
  <c r="E47" i="3"/>
  <c r="F47" i="3" s="1"/>
  <c r="G47" i="3" s="1"/>
  <c r="E48" i="3"/>
  <c r="F48" i="3" s="1"/>
  <c r="G48" i="3" s="1"/>
  <c r="E49" i="3"/>
  <c r="F49" i="3" s="1"/>
  <c r="G49" i="3" s="1"/>
  <c r="E50" i="3"/>
  <c r="F50" i="3" s="1"/>
  <c r="G50" i="3" s="1"/>
  <c r="E51" i="3"/>
  <c r="F51" i="3" s="1"/>
  <c r="G51" i="3" s="1"/>
  <c r="E52" i="3"/>
  <c r="F52" i="3" s="1"/>
  <c r="G52" i="3" s="1"/>
  <c r="E53" i="3"/>
  <c r="F53" i="3" s="1"/>
  <c r="G53" i="3" s="1"/>
  <c r="E54" i="3"/>
  <c r="F54" i="3" s="1"/>
  <c r="G54" i="3" s="1"/>
  <c r="E55" i="3"/>
  <c r="F55" i="3" s="1"/>
  <c r="G55" i="3" s="1"/>
  <c r="E56" i="3"/>
  <c r="F56" i="3" s="1"/>
  <c r="G56" i="3" s="1"/>
  <c r="E57" i="3"/>
  <c r="F57" i="3" s="1"/>
  <c r="G57" i="3" s="1"/>
  <c r="E58" i="3"/>
  <c r="F58" i="3" s="1"/>
  <c r="G58" i="3" s="1"/>
  <c r="E59" i="3"/>
  <c r="F59" i="3" s="1"/>
  <c r="G59" i="3" s="1"/>
  <c r="E60" i="3"/>
  <c r="F60" i="3" s="1"/>
  <c r="G60" i="3" s="1"/>
  <c r="E61" i="3"/>
  <c r="F61" i="3" s="1"/>
  <c r="G61" i="3" s="1"/>
  <c r="E62" i="3"/>
  <c r="F62" i="3" s="1"/>
  <c r="G62" i="3" s="1"/>
  <c r="E63" i="3"/>
  <c r="F63" i="3" s="1"/>
  <c r="G63" i="3" s="1"/>
  <c r="E64" i="3"/>
  <c r="F64" i="3" s="1"/>
  <c r="G64" i="3" s="1"/>
  <c r="E65" i="3"/>
  <c r="F65" i="3" s="1"/>
  <c r="G65" i="3" s="1"/>
  <c r="E66" i="3"/>
  <c r="F66" i="3" s="1"/>
  <c r="G66" i="3" s="1"/>
  <c r="E67" i="3"/>
  <c r="F67" i="3" s="1"/>
  <c r="G67" i="3" s="1"/>
  <c r="E68" i="3"/>
  <c r="F68" i="3" s="1"/>
  <c r="G68" i="3" s="1"/>
  <c r="E69" i="3"/>
  <c r="F69" i="3" s="1"/>
  <c r="G69" i="3" s="1"/>
  <c r="E70" i="3"/>
  <c r="F70" i="3" s="1"/>
  <c r="G70" i="3" s="1"/>
  <c r="E71" i="3"/>
  <c r="F71" i="3" s="1"/>
  <c r="G71" i="3" s="1"/>
  <c r="E72" i="3"/>
  <c r="F72" i="3" s="1"/>
  <c r="G72" i="3" s="1"/>
  <c r="E73" i="3"/>
  <c r="F73" i="3" s="1"/>
  <c r="G73" i="3" s="1"/>
  <c r="E74" i="3"/>
  <c r="F74" i="3" s="1"/>
  <c r="G74" i="3" s="1"/>
  <c r="E75" i="3"/>
  <c r="F75" i="3" s="1"/>
  <c r="G75" i="3" s="1"/>
  <c r="E76" i="3"/>
  <c r="F76" i="3" s="1"/>
  <c r="G76" i="3" s="1"/>
  <c r="E77" i="3"/>
  <c r="F77" i="3" s="1"/>
  <c r="G77" i="3" s="1"/>
  <c r="E78" i="3"/>
  <c r="F78" i="3" s="1"/>
  <c r="G78" i="3" s="1"/>
  <c r="E79" i="3"/>
  <c r="F79" i="3" s="1"/>
  <c r="G79" i="3" s="1"/>
  <c r="E80" i="3"/>
  <c r="F80" i="3" s="1"/>
  <c r="G80" i="3" s="1"/>
  <c r="E81" i="3"/>
  <c r="F81" i="3" s="1"/>
  <c r="G81" i="3" s="1"/>
  <c r="E82" i="3"/>
  <c r="F82" i="3" s="1"/>
  <c r="G82" i="3" s="1"/>
  <c r="E83" i="3"/>
  <c r="F83" i="3" s="1"/>
  <c r="G83" i="3" s="1"/>
  <c r="E84" i="3"/>
  <c r="F84" i="3" s="1"/>
  <c r="G84" i="3" s="1"/>
  <c r="E85" i="3"/>
  <c r="F85" i="3" s="1"/>
  <c r="G85" i="3" s="1"/>
  <c r="E86" i="3"/>
  <c r="F86" i="3" s="1"/>
  <c r="G86" i="3" s="1"/>
  <c r="E87" i="3"/>
  <c r="F87" i="3" s="1"/>
  <c r="G87" i="3" s="1"/>
  <c r="E88" i="3"/>
  <c r="F88" i="3" s="1"/>
  <c r="G88" i="3" s="1"/>
  <c r="E89" i="3"/>
  <c r="F89" i="3" s="1"/>
  <c r="G89" i="3" s="1"/>
  <c r="E90" i="3"/>
  <c r="F90" i="3" s="1"/>
  <c r="G90" i="3" s="1"/>
  <c r="E91" i="3"/>
  <c r="F91" i="3" s="1"/>
  <c r="G91" i="3" s="1"/>
  <c r="E92" i="3"/>
  <c r="F92" i="3" s="1"/>
  <c r="G92" i="3" s="1"/>
  <c r="E93" i="3"/>
  <c r="F93" i="3" s="1"/>
  <c r="G93" i="3" s="1"/>
  <c r="E94" i="3"/>
  <c r="F94" i="3" s="1"/>
  <c r="G94" i="3" s="1"/>
  <c r="E95" i="3"/>
  <c r="F95" i="3" s="1"/>
  <c r="G95" i="3" s="1"/>
  <c r="E96" i="3"/>
  <c r="F96" i="3" s="1"/>
  <c r="G96" i="3" s="1"/>
  <c r="E97" i="3"/>
  <c r="F97" i="3" s="1"/>
  <c r="G97" i="3" s="1"/>
  <c r="E98" i="3"/>
  <c r="F98" i="3" s="1"/>
  <c r="G98" i="3" s="1"/>
  <c r="E99" i="3"/>
  <c r="F99" i="3" s="1"/>
  <c r="G99" i="3" s="1"/>
  <c r="E100" i="3"/>
  <c r="F100" i="3" s="1"/>
  <c r="G100" i="3" s="1"/>
  <c r="E101" i="3"/>
  <c r="F101" i="3" s="1"/>
  <c r="G101" i="3" s="1"/>
  <c r="E102" i="3"/>
  <c r="F102" i="3" s="1"/>
  <c r="G102" i="3" s="1"/>
  <c r="E103" i="3"/>
  <c r="F103" i="3" s="1"/>
  <c r="G103" i="3" s="1"/>
  <c r="E104" i="3"/>
  <c r="F104" i="3" s="1"/>
  <c r="G104" i="3" s="1"/>
  <c r="E105" i="3"/>
  <c r="F105" i="3" s="1"/>
  <c r="G105" i="3" s="1"/>
  <c r="E106" i="3"/>
  <c r="F106" i="3" s="1"/>
  <c r="G106" i="3" s="1"/>
  <c r="E107" i="3"/>
  <c r="F107" i="3" s="1"/>
  <c r="G107" i="3" s="1"/>
  <c r="E108" i="3"/>
  <c r="F108" i="3" s="1"/>
  <c r="G108" i="3" s="1"/>
  <c r="E109" i="3"/>
  <c r="F109" i="3" s="1"/>
  <c r="G109" i="3" s="1"/>
  <c r="E110" i="3"/>
  <c r="F110" i="3" s="1"/>
  <c r="G110" i="3" s="1"/>
  <c r="E111" i="3"/>
  <c r="F111" i="3" s="1"/>
  <c r="G111" i="3" s="1"/>
  <c r="E112" i="3"/>
  <c r="F112" i="3" s="1"/>
  <c r="G112" i="3" s="1"/>
  <c r="E113" i="3"/>
  <c r="F113" i="3" s="1"/>
  <c r="G113" i="3" s="1"/>
  <c r="E114" i="3"/>
  <c r="F114" i="3" s="1"/>
  <c r="G114" i="3" s="1"/>
  <c r="E115" i="3"/>
  <c r="F115" i="3" s="1"/>
  <c r="G115" i="3" s="1"/>
  <c r="E116" i="3"/>
  <c r="F116" i="3" s="1"/>
  <c r="G116" i="3" s="1"/>
  <c r="E117" i="3"/>
  <c r="F117" i="3" s="1"/>
  <c r="G117" i="3" s="1"/>
  <c r="E118" i="3"/>
  <c r="F118" i="3" s="1"/>
  <c r="G118" i="3" s="1"/>
  <c r="E119" i="3"/>
  <c r="F119" i="3" s="1"/>
  <c r="G119" i="3" s="1"/>
  <c r="E120" i="3"/>
  <c r="F120" i="3" s="1"/>
  <c r="G120" i="3" s="1"/>
  <c r="E121" i="3"/>
  <c r="F121" i="3" s="1"/>
  <c r="G121" i="3" s="1"/>
  <c r="E122" i="3"/>
  <c r="F122" i="3" s="1"/>
  <c r="G122" i="3" s="1"/>
  <c r="E123" i="3"/>
  <c r="F123" i="3" s="1"/>
  <c r="G123" i="3" s="1"/>
  <c r="E124" i="3"/>
  <c r="F124" i="3" s="1"/>
  <c r="G124" i="3" s="1"/>
  <c r="E125" i="3"/>
  <c r="F125" i="3" s="1"/>
  <c r="G125" i="3" s="1"/>
  <c r="E126" i="3"/>
  <c r="F126" i="3" s="1"/>
  <c r="G126" i="3" s="1"/>
  <c r="E127" i="3"/>
  <c r="F127" i="3" s="1"/>
  <c r="G127" i="3" s="1"/>
  <c r="E128" i="3"/>
  <c r="F128" i="3" s="1"/>
  <c r="G128" i="3" s="1"/>
  <c r="E129" i="3"/>
  <c r="F129" i="3" s="1"/>
  <c r="G129" i="3" s="1"/>
  <c r="E130" i="3"/>
  <c r="F130" i="3" s="1"/>
  <c r="G130" i="3" s="1"/>
  <c r="E131" i="3"/>
  <c r="F131" i="3" s="1"/>
  <c r="G131" i="3" s="1"/>
  <c r="E132" i="3"/>
  <c r="F132" i="3" s="1"/>
  <c r="G132" i="3" s="1"/>
  <c r="E133" i="3"/>
  <c r="F133" i="3" s="1"/>
  <c r="G133" i="3" s="1"/>
  <c r="E134" i="3"/>
  <c r="F134" i="3" s="1"/>
  <c r="G134" i="3" s="1"/>
  <c r="E135" i="3"/>
  <c r="F135" i="3" s="1"/>
  <c r="G135" i="3" s="1"/>
  <c r="E136" i="3"/>
  <c r="F136" i="3" s="1"/>
  <c r="G136" i="3" s="1"/>
  <c r="E137" i="3"/>
  <c r="F137" i="3" s="1"/>
  <c r="G137" i="3" s="1"/>
  <c r="E138" i="3"/>
  <c r="F138" i="3" s="1"/>
  <c r="G138" i="3" s="1"/>
  <c r="E139" i="3"/>
  <c r="F139" i="3" s="1"/>
  <c r="G139" i="3" s="1"/>
  <c r="E140" i="3"/>
  <c r="F140" i="3" s="1"/>
  <c r="G140" i="3" s="1"/>
  <c r="E141" i="3"/>
  <c r="F141" i="3" s="1"/>
  <c r="G141" i="3" s="1"/>
  <c r="E142" i="3"/>
  <c r="F142" i="3" s="1"/>
  <c r="G142" i="3" s="1"/>
  <c r="E143" i="3"/>
  <c r="F143" i="3" s="1"/>
  <c r="G143" i="3" s="1"/>
  <c r="E144" i="3"/>
  <c r="F144" i="3" s="1"/>
  <c r="G144" i="3" s="1"/>
  <c r="E145" i="3"/>
  <c r="F145" i="3" s="1"/>
  <c r="G145" i="3" s="1"/>
  <c r="E146" i="3"/>
  <c r="F146" i="3" s="1"/>
  <c r="G146" i="3" s="1"/>
  <c r="E147" i="3"/>
  <c r="F147" i="3" s="1"/>
  <c r="G147" i="3" s="1"/>
  <c r="E148" i="3"/>
  <c r="F148" i="3" s="1"/>
  <c r="G148" i="3" s="1"/>
  <c r="E149" i="3"/>
  <c r="F149" i="3" s="1"/>
  <c r="G149" i="3" s="1"/>
  <c r="E150" i="3"/>
  <c r="F150" i="3" s="1"/>
  <c r="G150" i="3" s="1"/>
  <c r="E151" i="3"/>
  <c r="F151" i="3" s="1"/>
  <c r="G151" i="3" s="1"/>
  <c r="E152" i="3"/>
  <c r="F152" i="3" s="1"/>
  <c r="G152" i="3" s="1"/>
  <c r="E153" i="3"/>
  <c r="F153" i="3" s="1"/>
  <c r="G153" i="3" s="1"/>
  <c r="E154" i="3"/>
  <c r="F154" i="3" s="1"/>
  <c r="G154" i="3" s="1"/>
  <c r="E155" i="3"/>
  <c r="F155" i="3" s="1"/>
  <c r="G155" i="3" s="1"/>
  <c r="E156" i="3"/>
  <c r="F156" i="3" s="1"/>
  <c r="G156" i="3" s="1"/>
  <c r="E157" i="3"/>
  <c r="F157" i="3" s="1"/>
  <c r="G157" i="3" s="1"/>
  <c r="E158" i="3"/>
  <c r="F158" i="3" s="1"/>
  <c r="G158" i="3" s="1"/>
  <c r="E159" i="3"/>
  <c r="F159" i="3" s="1"/>
  <c r="G159" i="3" s="1"/>
  <c r="E160" i="3"/>
  <c r="F160" i="3" s="1"/>
  <c r="G160" i="3" s="1"/>
  <c r="E161" i="3"/>
  <c r="F161" i="3" s="1"/>
  <c r="G161" i="3" s="1"/>
  <c r="E162" i="3"/>
  <c r="F162" i="3" s="1"/>
  <c r="G162" i="3" s="1"/>
  <c r="E163" i="3"/>
  <c r="F163" i="3" s="1"/>
  <c r="G163" i="3" s="1"/>
  <c r="E164" i="3"/>
  <c r="F164" i="3" s="1"/>
  <c r="G164" i="3" s="1"/>
  <c r="E165" i="3"/>
  <c r="F165" i="3" s="1"/>
  <c r="G165" i="3" s="1"/>
  <c r="E166" i="3"/>
  <c r="F166" i="3" s="1"/>
  <c r="G166" i="3" s="1"/>
  <c r="E167" i="3"/>
  <c r="F167" i="3" s="1"/>
  <c r="G167" i="3" s="1"/>
  <c r="E168" i="3"/>
  <c r="F168" i="3" s="1"/>
  <c r="G168" i="3" s="1"/>
  <c r="E169" i="3"/>
  <c r="F169" i="3" s="1"/>
  <c r="G169" i="3" s="1"/>
  <c r="E170" i="3"/>
  <c r="F170" i="3" s="1"/>
  <c r="G170" i="3" s="1"/>
  <c r="E171" i="3"/>
  <c r="F171" i="3" s="1"/>
  <c r="G171" i="3" s="1"/>
  <c r="E172" i="3"/>
  <c r="F172" i="3" s="1"/>
  <c r="G172" i="3" s="1"/>
  <c r="E173" i="3"/>
  <c r="F173" i="3" s="1"/>
  <c r="G173" i="3" s="1"/>
  <c r="E174" i="3"/>
  <c r="F174" i="3" s="1"/>
  <c r="G174" i="3" s="1"/>
  <c r="E175" i="3"/>
  <c r="F175" i="3" s="1"/>
  <c r="G175" i="3" s="1"/>
  <c r="E176" i="3"/>
  <c r="F176" i="3" s="1"/>
  <c r="G176" i="3" s="1"/>
  <c r="E177" i="3"/>
  <c r="F177" i="3" s="1"/>
  <c r="G177" i="3" s="1"/>
  <c r="E178" i="3"/>
  <c r="F178" i="3" s="1"/>
  <c r="G178" i="3" s="1"/>
  <c r="E179" i="3"/>
  <c r="F179" i="3" s="1"/>
  <c r="G179" i="3" s="1"/>
  <c r="E180" i="3"/>
  <c r="F180" i="3" s="1"/>
  <c r="G180" i="3" s="1"/>
  <c r="E181" i="3"/>
  <c r="F181" i="3" s="1"/>
  <c r="G181" i="3" s="1"/>
  <c r="E182" i="3"/>
  <c r="F182" i="3" s="1"/>
  <c r="G182" i="3" s="1"/>
  <c r="E183" i="3"/>
  <c r="F183" i="3" s="1"/>
  <c r="G183" i="3" s="1"/>
  <c r="E184" i="3"/>
  <c r="F184" i="3" s="1"/>
  <c r="G184" i="3" s="1"/>
  <c r="E185" i="3"/>
  <c r="F185" i="3" s="1"/>
  <c r="G185" i="3" s="1"/>
  <c r="E186" i="3"/>
  <c r="F186" i="3" s="1"/>
  <c r="G186" i="3" s="1"/>
  <c r="E187" i="3"/>
  <c r="F187" i="3" s="1"/>
  <c r="G187" i="3" s="1"/>
  <c r="E188" i="3"/>
  <c r="F188" i="3" s="1"/>
  <c r="G188" i="3" s="1"/>
  <c r="E189" i="3"/>
  <c r="F189" i="3" s="1"/>
  <c r="G189" i="3" s="1"/>
  <c r="E190" i="3"/>
  <c r="F190" i="3" s="1"/>
  <c r="G190" i="3" s="1"/>
  <c r="E191" i="3"/>
  <c r="F191" i="3" s="1"/>
  <c r="G191" i="3" s="1"/>
  <c r="E192" i="3"/>
  <c r="F192" i="3" s="1"/>
  <c r="G192" i="3" s="1"/>
  <c r="E193" i="3"/>
  <c r="F193" i="3" s="1"/>
  <c r="G193" i="3" s="1"/>
  <c r="E194" i="3"/>
  <c r="F194" i="3" s="1"/>
  <c r="G194" i="3" s="1"/>
  <c r="E195" i="3"/>
  <c r="F195" i="3" s="1"/>
  <c r="G195" i="3" s="1"/>
  <c r="E196" i="3"/>
  <c r="F196" i="3" s="1"/>
  <c r="G196" i="3" s="1"/>
  <c r="E197" i="3"/>
  <c r="F197" i="3" s="1"/>
  <c r="G197" i="3" s="1"/>
  <c r="E198" i="3"/>
  <c r="F198" i="3" s="1"/>
  <c r="G198" i="3" s="1"/>
  <c r="E199" i="3"/>
  <c r="F199" i="3" s="1"/>
  <c r="G199" i="3" s="1"/>
  <c r="E200" i="3"/>
  <c r="F200" i="3" s="1"/>
  <c r="G200" i="3" s="1"/>
  <c r="E201" i="3"/>
  <c r="F201" i="3" s="1"/>
  <c r="G201" i="3" s="1"/>
  <c r="E202" i="3"/>
  <c r="F202" i="3" s="1"/>
  <c r="G202" i="3" s="1"/>
  <c r="E203" i="3"/>
  <c r="F203" i="3" s="1"/>
  <c r="G203" i="3" s="1"/>
  <c r="E204" i="3"/>
  <c r="F204" i="3" s="1"/>
  <c r="G204" i="3" s="1"/>
  <c r="E205" i="3"/>
  <c r="F205" i="3" s="1"/>
  <c r="G205" i="3" s="1"/>
  <c r="E206" i="3"/>
  <c r="F206" i="3" s="1"/>
  <c r="G206" i="3" s="1"/>
  <c r="E207" i="3"/>
  <c r="F207" i="3" s="1"/>
  <c r="G207" i="3" s="1"/>
  <c r="E208" i="3"/>
  <c r="F208" i="3" s="1"/>
  <c r="G208" i="3" s="1"/>
  <c r="E209" i="3"/>
  <c r="F209" i="3" s="1"/>
  <c r="G209" i="3" s="1"/>
  <c r="E210" i="3"/>
  <c r="F210" i="3" s="1"/>
  <c r="G210" i="3" s="1"/>
  <c r="E211" i="3"/>
  <c r="F211" i="3" s="1"/>
  <c r="G211" i="3" s="1"/>
  <c r="E212" i="3"/>
  <c r="F212" i="3" s="1"/>
  <c r="G212" i="3" s="1"/>
  <c r="E213" i="3"/>
  <c r="F213" i="3" s="1"/>
  <c r="G213" i="3" s="1"/>
  <c r="E214" i="3"/>
  <c r="F214" i="3" s="1"/>
  <c r="G214" i="3" s="1"/>
  <c r="E215" i="3"/>
  <c r="F215" i="3" s="1"/>
  <c r="G215" i="3" s="1"/>
  <c r="E216" i="3"/>
  <c r="F216" i="3" s="1"/>
  <c r="G216" i="3" s="1"/>
  <c r="E217" i="3"/>
  <c r="F217" i="3" s="1"/>
  <c r="G217" i="3" s="1"/>
  <c r="E218" i="3"/>
  <c r="F218" i="3" s="1"/>
  <c r="G218" i="3" s="1"/>
  <c r="E219" i="3"/>
  <c r="F219" i="3" s="1"/>
  <c r="G219" i="3" s="1"/>
  <c r="E220" i="3"/>
  <c r="F220" i="3" s="1"/>
  <c r="G220" i="3" s="1"/>
  <c r="E221" i="3"/>
  <c r="F221" i="3" s="1"/>
  <c r="G221" i="3" s="1"/>
  <c r="E222" i="3"/>
  <c r="F222" i="3" s="1"/>
  <c r="G222" i="3" s="1"/>
  <c r="E223" i="3"/>
  <c r="F223" i="3" s="1"/>
  <c r="G223" i="3" s="1"/>
  <c r="E224" i="3"/>
  <c r="F224" i="3" s="1"/>
  <c r="G224" i="3" s="1"/>
  <c r="E225" i="3"/>
  <c r="F225" i="3" s="1"/>
  <c r="G225" i="3" s="1"/>
  <c r="E226" i="3"/>
  <c r="F226" i="3" s="1"/>
  <c r="G226" i="3" s="1"/>
  <c r="E227" i="3"/>
  <c r="F227" i="3" s="1"/>
  <c r="G227" i="3" s="1"/>
  <c r="E228" i="3"/>
  <c r="F228" i="3" s="1"/>
  <c r="G228" i="3" s="1"/>
  <c r="E229" i="3"/>
  <c r="F229" i="3" s="1"/>
  <c r="G229" i="3" s="1"/>
  <c r="E230" i="3"/>
  <c r="F230" i="3" s="1"/>
  <c r="G230" i="3" s="1"/>
  <c r="E231" i="3"/>
  <c r="F231" i="3" s="1"/>
  <c r="G231" i="3" s="1"/>
  <c r="E232" i="3"/>
  <c r="F232" i="3" s="1"/>
  <c r="G232" i="3" s="1"/>
  <c r="E233" i="3"/>
  <c r="F233" i="3" s="1"/>
  <c r="G233" i="3" s="1"/>
  <c r="E234" i="3"/>
  <c r="F234" i="3" s="1"/>
  <c r="G234" i="3" s="1"/>
  <c r="E235" i="3"/>
  <c r="F235" i="3" s="1"/>
  <c r="G235" i="3" s="1"/>
  <c r="E236" i="3"/>
  <c r="F236" i="3" s="1"/>
  <c r="G236" i="3" s="1"/>
  <c r="E237" i="3"/>
  <c r="F237" i="3" s="1"/>
  <c r="G237" i="3" s="1"/>
  <c r="E238" i="3"/>
  <c r="F238" i="3" s="1"/>
  <c r="G238" i="3" s="1"/>
  <c r="E239" i="3"/>
  <c r="F239" i="3" s="1"/>
  <c r="G239" i="3" s="1"/>
  <c r="E240" i="3"/>
  <c r="F240" i="3" s="1"/>
  <c r="G240" i="3" s="1"/>
  <c r="E241" i="3"/>
  <c r="F241" i="3" s="1"/>
  <c r="G241" i="3" s="1"/>
  <c r="E242" i="3"/>
  <c r="F242" i="3" s="1"/>
  <c r="G242" i="3" s="1"/>
  <c r="E243" i="3"/>
  <c r="F243" i="3" s="1"/>
  <c r="G243" i="3" s="1"/>
  <c r="E244" i="3"/>
  <c r="F244" i="3" s="1"/>
  <c r="G244" i="3" s="1"/>
  <c r="E245" i="3"/>
  <c r="F245" i="3" s="1"/>
  <c r="G245" i="3" s="1"/>
  <c r="E246" i="3"/>
  <c r="F246" i="3" s="1"/>
  <c r="G246" i="3" s="1"/>
  <c r="E247" i="3"/>
  <c r="F247" i="3" s="1"/>
  <c r="G247" i="3" s="1"/>
  <c r="E248" i="3"/>
  <c r="F248" i="3" s="1"/>
  <c r="G248" i="3" s="1"/>
  <c r="E249" i="3"/>
  <c r="F249" i="3" s="1"/>
  <c r="G249" i="3" s="1"/>
  <c r="E250" i="3"/>
  <c r="F250" i="3" s="1"/>
  <c r="G250" i="3" s="1"/>
  <c r="E251" i="3"/>
  <c r="F251" i="3" s="1"/>
  <c r="G251" i="3" s="1"/>
  <c r="E252" i="3"/>
  <c r="F252" i="3" s="1"/>
  <c r="G252" i="3" s="1"/>
  <c r="E253" i="3"/>
  <c r="F253" i="3" s="1"/>
  <c r="G253" i="3" s="1"/>
  <c r="E254" i="3"/>
  <c r="F254" i="3" s="1"/>
  <c r="G254" i="3" s="1"/>
  <c r="E255" i="3"/>
  <c r="F255" i="3" s="1"/>
  <c r="G255" i="3" s="1"/>
  <c r="E256" i="3"/>
  <c r="F256" i="3" s="1"/>
  <c r="G256" i="3" s="1"/>
  <c r="E257" i="3"/>
  <c r="F257" i="3" s="1"/>
  <c r="G257" i="3" s="1"/>
  <c r="E258" i="3"/>
  <c r="F258" i="3" s="1"/>
  <c r="G258" i="3" s="1"/>
  <c r="E259" i="3"/>
  <c r="F259" i="3" s="1"/>
  <c r="G259" i="3" s="1"/>
  <c r="E260" i="3"/>
  <c r="F260" i="3" s="1"/>
  <c r="G260" i="3" s="1"/>
  <c r="E261" i="3"/>
  <c r="F261" i="3" s="1"/>
  <c r="G261" i="3" s="1"/>
  <c r="E262" i="3"/>
  <c r="F262" i="3" s="1"/>
  <c r="G262" i="3" s="1"/>
  <c r="E263" i="3"/>
  <c r="F263" i="3" s="1"/>
  <c r="G263" i="3" s="1"/>
  <c r="E264" i="3"/>
  <c r="F264" i="3" s="1"/>
  <c r="G264" i="3" s="1"/>
  <c r="E265" i="3"/>
  <c r="F265" i="3" s="1"/>
  <c r="G265" i="3" s="1"/>
  <c r="E266" i="3"/>
  <c r="F266" i="3" s="1"/>
  <c r="G266" i="3" s="1"/>
  <c r="E267" i="3"/>
  <c r="F267" i="3" s="1"/>
  <c r="G267" i="3" s="1"/>
  <c r="E268" i="3"/>
  <c r="F268" i="3" s="1"/>
  <c r="G268" i="3" s="1"/>
  <c r="E269" i="3"/>
  <c r="F269" i="3" s="1"/>
  <c r="G269" i="3" s="1"/>
  <c r="E270" i="3"/>
  <c r="F270" i="3" s="1"/>
  <c r="G270" i="3" s="1"/>
  <c r="E271" i="3"/>
  <c r="F271" i="3" s="1"/>
  <c r="G271" i="3" s="1"/>
  <c r="E272" i="3"/>
  <c r="F272" i="3" s="1"/>
  <c r="G272" i="3" s="1"/>
  <c r="E273" i="3"/>
  <c r="F273" i="3" s="1"/>
  <c r="G273" i="3" s="1"/>
  <c r="E274" i="3"/>
  <c r="F274" i="3" s="1"/>
  <c r="G274" i="3" s="1"/>
  <c r="E275" i="3"/>
  <c r="F275" i="3" s="1"/>
  <c r="G275" i="3" s="1"/>
  <c r="E276" i="3"/>
  <c r="F276" i="3" s="1"/>
  <c r="G276" i="3" s="1"/>
  <c r="E277" i="3"/>
  <c r="F277" i="3" s="1"/>
  <c r="G277" i="3" s="1"/>
  <c r="E278" i="3"/>
  <c r="F278" i="3" s="1"/>
  <c r="G278" i="3" s="1"/>
  <c r="E279" i="3"/>
  <c r="F279" i="3" s="1"/>
  <c r="G279" i="3" s="1"/>
  <c r="E280" i="3"/>
  <c r="F280" i="3" s="1"/>
  <c r="G280" i="3" s="1"/>
  <c r="E281" i="3"/>
  <c r="F281" i="3" s="1"/>
  <c r="G281" i="3" s="1"/>
  <c r="E282" i="3"/>
  <c r="F282" i="3" s="1"/>
  <c r="G282" i="3" s="1"/>
  <c r="E283" i="3"/>
  <c r="F283" i="3" s="1"/>
  <c r="G283" i="3" s="1"/>
  <c r="E284" i="3"/>
  <c r="F284" i="3" s="1"/>
  <c r="G284" i="3" s="1"/>
  <c r="E285" i="3"/>
  <c r="F285" i="3" s="1"/>
  <c r="G285" i="3" s="1"/>
  <c r="E286" i="3"/>
  <c r="F286" i="3" s="1"/>
  <c r="G286" i="3" s="1"/>
  <c r="E287" i="3"/>
  <c r="F287" i="3" s="1"/>
  <c r="G287" i="3" s="1"/>
  <c r="E288" i="3"/>
  <c r="F288" i="3" s="1"/>
  <c r="G288" i="3" s="1"/>
  <c r="E289" i="3"/>
  <c r="F289" i="3" s="1"/>
  <c r="G289" i="3" s="1"/>
  <c r="E290" i="3"/>
  <c r="F290" i="3" s="1"/>
  <c r="G290" i="3" s="1"/>
  <c r="E291" i="3"/>
  <c r="F291" i="3" s="1"/>
  <c r="G291" i="3" s="1"/>
  <c r="E292" i="3"/>
  <c r="F292" i="3" s="1"/>
  <c r="G292" i="3" s="1"/>
  <c r="E293" i="3"/>
  <c r="F293" i="3" s="1"/>
  <c r="G293" i="3" s="1"/>
  <c r="E294" i="3"/>
  <c r="F294" i="3" s="1"/>
  <c r="G294" i="3" s="1"/>
  <c r="E295" i="3"/>
  <c r="F295" i="3" s="1"/>
  <c r="G295" i="3" s="1"/>
  <c r="E296" i="3"/>
  <c r="F296" i="3" s="1"/>
  <c r="G296" i="3" s="1"/>
  <c r="E297" i="3"/>
  <c r="F297" i="3" s="1"/>
  <c r="G297" i="3" s="1"/>
  <c r="E298" i="3"/>
  <c r="F298" i="3" s="1"/>
  <c r="G298" i="3" s="1"/>
  <c r="E299" i="3"/>
  <c r="F299" i="3" s="1"/>
  <c r="G299" i="3" s="1"/>
  <c r="E300" i="3"/>
  <c r="F300" i="3" s="1"/>
  <c r="G300" i="3" s="1"/>
  <c r="E301" i="3"/>
  <c r="F301" i="3" s="1"/>
  <c r="G301" i="3" s="1"/>
  <c r="E302" i="3"/>
  <c r="F302" i="3" s="1"/>
  <c r="G302" i="3" s="1"/>
  <c r="E303" i="3"/>
  <c r="F303" i="3" s="1"/>
  <c r="G303" i="3" s="1"/>
  <c r="E304" i="3"/>
  <c r="F304" i="3" s="1"/>
  <c r="G304" i="3" s="1"/>
  <c r="E305" i="3"/>
  <c r="F305" i="3" s="1"/>
  <c r="G305" i="3" s="1"/>
  <c r="E306" i="3"/>
  <c r="F306" i="3" s="1"/>
  <c r="G306" i="3" s="1"/>
  <c r="E307" i="3"/>
  <c r="F307" i="3" s="1"/>
  <c r="G307" i="3" s="1"/>
  <c r="E308" i="3"/>
  <c r="F308" i="3" s="1"/>
  <c r="G308" i="3" s="1"/>
  <c r="E309" i="3"/>
  <c r="F309" i="3" s="1"/>
  <c r="G309" i="3" s="1"/>
  <c r="E310" i="3"/>
  <c r="F310" i="3" s="1"/>
  <c r="G310" i="3" s="1"/>
  <c r="E311" i="3"/>
  <c r="F311" i="3" s="1"/>
  <c r="G311" i="3" s="1"/>
  <c r="E312" i="3"/>
  <c r="F312" i="3" s="1"/>
  <c r="G312" i="3" s="1"/>
  <c r="E313" i="3"/>
  <c r="F313" i="3" s="1"/>
  <c r="G313" i="3" s="1"/>
  <c r="E314" i="3"/>
  <c r="F314" i="3" s="1"/>
  <c r="G314" i="3" s="1"/>
  <c r="E315" i="3"/>
  <c r="F315" i="3" s="1"/>
  <c r="G315" i="3" s="1"/>
  <c r="E316" i="3"/>
  <c r="F316" i="3" s="1"/>
  <c r="G316" i="3" s="1"/>
  <c r="E317" i="3"/>
  <c r="F317" i="3" s="1"/>
  <c r="G317" i="3" s="1"/>
  <c r="E318" i="3"/>
  <c r="F318" i="3" s="1"/>
  <c r="G318" i="3" s="1"/>
  <c r="E319" i="3"/>
  <c r="F319" i="3" s="1"/>
  <c r="G319" i="3" s="1"/>
  <c r="E320" i="3"/>
  <c r="F320" i="3" s="1"/>
  <c r="G320" i="3" s="1"/>
  <c r="E321" i="3"/>
  <c r="F321" i="3" s="1"/>
  <c r="G321" i="3" s="1"/>
  <c r="E322" i="3"/>
  <c r="F322" i="3" s="1"/>
  <c r="G322" i="3" s="1"/>
  <c r="E323" i="3"/>
  <c r="F323" i="3" s="1"/>
  <c r="G323" i="3" s="1"/>
  <c r="E324" i="3"/>
  <c r="F324" i="3" s="1"/>
  <c r="G324" i="3" s="1"/>
  <c r="E325" i="3"/>
  <c r="F325" i="3" s="1"/>
  <c r="G325" i="3" s="1"/>
  <c r="E326" i="3"/>
  <c r="F326" i="3" s="1"/>
  <c r="G326" i="3" s="1"/>
  <c r="E327" i="3"/>
  <c r="F327" i="3" s="1"/>
  <c r="G327" i="3" s="1"/>
  <c r="E328" i="3"/>
  <c r="F328" i="3" s="1"/>
  <c r="G328" i="3" s="1"/>
  <c r="E329" i="3"/>
  <c r="F329" i="3" s="1"/>
  <c r="G329" i="3" s="1"/>
  <c r="E330" i="3"/>
  <c r="F330" i="3" s="1"/>
  <c r="G330" i="3" s="1"/>
  <c r="E331" i="3"/>
  <c r="F331" i="3" s="1"/>
  <c r="G331" i="3" s="1"/>
  <c r="E332" i="3"/>
  <c r="F332" i="3" s="1"/>
  <c r="G332" i="3" s="1"/>
  <c r="E333" i="3"/>
  <c r="F333" i="3" s="1"/>
  <c r="G333" i="3" s="1"/>
  <c r="E334" i="3"/>
  <c r="F334" i="3" s="1"/>
  <c r="G334" i="3" s="1"/>
  <c r="E335" i="3"/>
  <c r="F335" i="3" s="1"/>
  <c r="G335" i="3" s="1"/>
  <c r="E336" i="3"/>
  <c r="F336" i="3" s="1"/>
  <c r="G336" i="3" s="1"/>
  <c r="E337" i="3"/>
  <c r="F337" i="3" s="1"/>
  <c r="G337" i="3" s="1"/>
  <c r="E338" i="3"/>
  <c r="F338" i="3" s="1"/>
  <c r="G338" i="3" s="1"/>
  <c r="E339" i="3"/>
  <c r="F339" i="3" s="1"/>
  <c r="G339" i="3" s="1"/>
  <c r="E340" i="3"/>
  <c r="F340" i="3" s="1"/>
  <c r="G340" i="3" s="1"/>
  <c r="E341" i="3"/>
  <c r="F341" i="3" s="1"/>
  <c r="G341" i="3" s="1"/>
  <c r="E342" i="3"/>
  <c r="F342" i="3" s="1"/>
  <c r="G342" i="3" s="1"/>
  <c r="E343" i="3"/>
  <c r="F343" i="3" s="1"/>
  <c r="G343" i="3" s="1"/>
  <c r="E344" i="3"/>
  <c r="F344" i="3" s="1"/>
  <c r="G344" i="3" s="1"/>
  <c r="E345" i="3"/>
  <c r="F345" i="3" s="1"/>
  <c r="G345" i="3" s="1"/>
  <c r="E346" i="3"/>
  <c r="F346" i="3" s="1"/>
  <c r="G346" i="3" s="1"/>
  <c r="E347" i="3"/>
  <c r="F347" i="3" s="1"/>
  <c r="G347" i="3" s="1"/>
  <c r="E348" i="3"/>
  <c r="F348" i="3" s="1"/>
  <c r="G348" i="3" s="1"/>
  <c r="E349" i="3"/>
  <c r="F349" i="3" s="1"/>
  <c r="G349" i="3" s="1"/>
  <c r="E350" i="3"/>
  <c r="F350" i="3" s="1"/>
  <c r="G350" i="3" s="1"/>
  <c r="E351" i="3"/>
  <c r="F351" i="3" s="1"/>
  <c r="G351" i="3" s="1"/>
  <c r="E352" i="3"/>
  <c r="F352" i="3" s="1"/>
  <c r="G352" i="3" s="1"/>
  <c r="E353" i="3"/>
  <c r="F353" i="3" s="1"/>
  <c r="G353" i="3" s="1"/>
  <c r="E354" i="3"/>
  <c r="F354" i="3" s="1"/>
  <c r="G354" i="3" s="1"/>
  <c r="E355" i="3"/>
  <c r="F355" i="3" s="1"/>
  <c r="G355" i="3" s="1"/>
  <c r="E356" i="3"/>
  <c r="F356" i="3" s="1"/>
  <c r="G356" i="3" s="1"/>
  <c r="E357" i="3"/>
  <c r="F357" i="3" s="1"/>
  <c r="G357" i="3" s="1"/>
  <c r="E358" i="3"/>
  <c r="F358" i="3" s="1"/>
  <c r="G358" i="3" s="1"/>
  <c r="E359" i="3"/>
  <c r="F359" i="3" s="1"/>
  <c r="G359" i="3" s="1"/>
  <c r="E360" i="3"/>
  <c r="F360" i="3" s="1"/>
  <c r="G360" i="3" s="1"/>
  <c r="E361" i="3"/>
  <c r="F361" i="3" s="1"/>
  <c r="G361" i="3" s="1"/>
  <c r="E362" i="3"/>
  <c r="F362" i="3" s="1"/>
  <c r="G362" i="3" s="1"/>
  <c r="E363" i="3"/>
  <c r="F363" i="3" s="1"/>
  <c r="G363" i="3" s="1"/>
  <c r="E364" i="3"/>
  <c r="F364" i="3" s="1"/>
  <c r="G364" i="3" s="1"/>
  <c r="E365" i="3"/>
  <c r="F365" i="3" s="1"/>
  <c r="G365" i="3" s="1"/>
  <c r="E366" i="3"/>
  <c r="F366" i="3" s="1"/>
  <c r="G366" i="3" s="1"/>
  <c r="E367" i="3"/>
  <c r="F367" i="3" s="1"/>
  <c r="G367" i="3" s="1"/>
  <c r="E368" i="3"/>
  <c r="F368" i="3" s="1"/>
  <c r="G368" i="3" s="1"/>
  <c r="E369" i="3"/>
  <c r="F369" i="3" s="1"/>
  <c r="G369" i="3" s="1"/>
  <c r="E370" i="3"/>
  <c r="F370" i="3" s="1"/>
  <c r="G370" i="3" s="1"/>
  <c r="E371" i="3"/>
  <c r="F371" i="3" s="1"/>
  <c r="G371" i="3" s="1"/>
  <c r="E372" i="3"/>
  <c r="F372" i="3" s="1"/>
  <c r="G372" i="3" s="1"/>
  <c r="E373" i="3"/>
  <c r="F373" i="3" s="1"/>
  <c r="G373" i="3" s="1"/>
  <c r="E374" i="3"/>
  <c r="F374" i="3" s="1"/>
  <c r="G374" i="3" s="1"/>
  <c r="E375" i="3"/>
  <c r="F375" i="3" s="1"/>
  <c r="G375" i="3" s="1"/>
  <c r="E376" i="3"/>
  <c r="F376" i="3" s="1"/>
  <c r="G376" i="3" s="1"/>
  <c r="E377" i="3"/>
  <c r="F377" i="3" s="1"/>
  <c r="G377" i="3" s="1"/>
  <c r="E378" i="3"/>
  <c r="F378" i="3" s="1"/>
  <c r="G378" i="3" s="1"/>
  <c r="E379" i="3"/>
  <c r="F379" i="3" s="1"/>
  <c r="G379" i="3" s="1"/>
  <c r="E380" i="3"/>
  <c r="F380" i="3" s="1"/>
  <c r="G380" i="3" s="1"/>
  <c r="E381" i="3"/>
  <c r="F381" i="3" s="1"/>
  <c r="G381" i="3" s="1"/>
  <c r="E382" i="3"/>
  <c r="F382" i="3" s="1"/>
  <c r="G382" i="3" s="1"/>
  <c r="E383" i="3"/>
  <c r="F383" i="3" s="1"/>
  <c r="G383" i="3" s="1"/>
  <c r="E384" i="3"/>
  <c r="F384" i="3" s="1"/>
  <c r="G384" i="3" s="1"/>
  <c r="E385" i="3"/>
  <c r="F385" i="3" s="1"/>
  <c r="G385" i="3" s="1"/>
  <c r="E386" i="3"/>
  <c r="F386" i="3" s="1"/>
  <c r="G386" i="3" s="1"/>
  <c r="E387" i="3"/>
  <c r="F387" i="3" s="1"/>
  <c r="G387" i="3" s="1"/>
  <c r="E388" i="3"/>
  <c r="F388" i="3" s="1"/>
  <c r="G388" i="3" s="1"/>
  <c r="E389" i="3"/>
  <c r="F389" i="3" s="1"/>
  <c r="G389" i="3" s="1"/>
  <c r="E390" i="3"/>
  <c r="F390" i="3" s="1"/>
  <c r="G390" i="3" s="1"/>
  <c r="E391" i="3"/>
  <c r="F391" i="3" s="1"/>
  <c r="G391" i="3" s="1"/>
  <c r="E392" i="3"/>
  <c r="F392" i="3" s="1"/>
  <c r="G392" i="3" s="1"/>
  <c r="E393" i="3"/>
  <c r="F393" i="3" s="1"/>
  <c r="G393" i="3" s="1"/>
  <c r="E394" i="3"/>
  <c r="F394" i="3" s="1"/>
  <c r="G394" i="3" s="1"/>
  <c r="E395" i="3"/>
  <c r="F395" i="3" s="1"/>
  <c r="G395" i="3" s="1"/>
  <c r="E396" i="3"/>
  <c r="F396" i="3" s="1"/>
  <c r="G396" i="3" s="1"/>
  <c r="E397" i="3"/>
  <c r="F397" i="3" s="1"/>
  <c r="G397" i="3" s="1"/>
  <c r="E398" i="3"/>
  <c r="F398" i="3" s="1"/>
  <c r="G398" i="3" s="1"/>
  <c r="E399" i="3"/>
  <c r="F399" i="3" s="1"/>
  <c r="G399" i="3" s="1"/>
  <c r="E400" i="3"/>
  <c r="F400" i="3" s="1"/>
  <c r="G400" i="3" s="1"/>
  <c r="E401" i="3"/>
  <c r="F401" i="3" s="1"/>
  <c r="G401" i="3" s="1"/>
  <c r="E402" i="3"/>
  <c r="F402" i="3" s="1"/>
  <c r="G402" i="3" s="1"/>
  <c r="E403" i="3"/>
  <c r="F403" i="3" s="1"/>
  <c r="G403" i="3" s="1"/>
  <c r="E404" i="3"/>
  <c r="F404" i="3" s="1"/>
  <c r="G404" i="3" s="1"/>
  <c r="E405" i="3"/>
  <c r="F405" i="3" s="1"/>
  <c r="G405" i="3" s="1"/>
  <c r="E406" i="3"/>
  <c r="F406" i="3" s="1"/>
  <c r="G406" i="3" s="1"/>
  <c r="E407" i="3"/>
  <c r="F407" i="3" s="1"/>
  <c r="G407" i="3" s="1"/>
  <c r="E408" i="3"/>
  <c r="F408" i="3" s="1"/>
  <c r="G408" i="3" s="1"/>
  <c r="E409" i="3"/>
  <c r="F409" i="3" s="1"/>
  <c r="G409" i="3" s="1"/>
  <c r="E410" i="3"/>
  <c r="F410" i="3" s="1"/>
  <c r="G410" i="3" s="1"/>
  <c r="E411" i="3"/>
  <c r="F411" i="3" s="1"/>
  <c r="G411" i="3" s="1"/>
  <c r="E412" i="3"/>
  <c r="F412" i="3" s="1"/>
  <c r="G412" i="3" s="1"/>
  <c r="E413" i="3"/>
  <c r="F413" i="3" s="1"/>
  <c r="G413" i="3" s="1"/>
  <c r="E414" i="3"/>
  <c r="F414" i="3" s="1"/>
  <c r="G414" i="3" s="1"/>
  <c r="E415" i="3"/>
  <c r="F415" i="3" s="1"/>
  <c r="G415" i="3" s="1"/>
  <c r="E416" i="3"/>
  <c r="F416" i="3" s="1"/>
  <c r="G416" i="3" s="1"/>
  <c r="E417" i="3"/>
  <c r="F417" i="3" s="1"/>
  <c r="G417" i="3" s="1"/>
  <c r="E418" i="3"/>
  <c r="F418" i="3" s="1"/>
  <c r="G418" i="3" s="1"/>
  <c r="E419" i="3"/>
  <c r="F419" i="3" s="1"/>
  <c r="G419" i="3" s="1"/>
  <c r="E420" i="3"/>
  <c r="F420" i="3" s="1"/>
  <c r="G420" i="3" s="1"/>
  <c r="E421" i="3"/>
  <c r="F421" i="3" s="1"/>
  <c r="G421" i="3" s="1"/>
  <c r="E422" i="3"/>
  <c r="F422" i="3" s="1"/>
  <c r="G422" i="3" s="1"/>
  <c r="E423" i="3"/>
  <c r="F423" i="3" s="1"/>
  <c r="G423" i="3" s="1"/>
  <c r="E424" i="3"/>
  <c r="F424" i="3" s="1"/>
  <c r="G424" i="3" s="1"/>
  <c r="E425" i="3"/>
  <c r="F425" i="3" s="1"/>
  <c r="G425" i="3" s="1"/>
  <c r="E426" i="3"/>
  <c r="F426" i="3" s="1"/>
  <c r="G426" i="3" s="1"/>
  <c r="E427" i="3"/>
  <c r="F427" i="3" s="1"/>
  <c r="G427" i="3" s="1"/>
  <c r="E428" i="3"/>
  <c r="F428" i="3" s="1"/>
  <c r="G428" i="3" s="1"/>
  <c r="E429" i="3"/>
  <c r="F429" i="3" s="1"/>
  <c r="G429" i="3" s="1"/>
  <c r="E430" i="3"/>
  <c r="F430" i="3" s="1"/>
  <c r="G430" i="3" s="1"/>
  <c r="E431" i="3"/>
  <c r="F431" i="3" s="1"/>
  <c r="G431" i="3" s="1"/>
  <c r="E432" i="3"/>
  <c r="F432" i="3" s="1"/>
  <c r="G432" i="3" s="1"/>
  <c r="E433" i="3"/>
  <c r="F433" i="3" s="1"/>
  <c r="G433" i="3" s="1"/>
  <c r="E434" i="3"/>
  <c r="F434" i="3" s="1"/>
  <c r="G434" i="3" s="1"/>
  <c r="E435" i="3"/>
  <c r="F435" i="3" s="1"/>
  <c r="G435" i="3" s="1"/>
  <c r="E436" i="3"/>
  <c r="F436" i="3" s="1"/>
  <c r="G436" i="3" s="1"/>
  <c r="E437" i="3"/>
  <c r="F437" i="3" s="1"/>
  <c r="G437" i="3" s="1"/>
  <c r="E438" i="3"/>
  <c r="F438" i="3" s="1"/>
  <c r="G438" i="3" s="1"/>
  <c r="E439" i="3"/>
  <c r="F439" i="3" s="1"/>
  <c r="G439" i="3" s="1"/>
  <c r="E440" i="3"/>
  <c r="F440" i="3" s="1"/>
  <c r="G440" i="3" s="1"/>
  <c r="E441" i="3"/>
  <c r="F441" i="3" s="1"/>
  <c r="G441" i="3" s="1"/>
  <c r="E442" i="3"/>
  <c r="F442" i="3" s="1"/>
  <c r="G442" i="3" s="1"/>
  <c r="E443" i="3"/>
  <c r="F443" i="3" s="1"/>
  <c r="G443" i="3" s="1"/>
  <c r="E444" i="3"/>
  <c r="F444" i="3" s="1"/>
  <c r="G444" i="3" s="1"/>
  <c r="E445" i="3"/>
  <c r="F445" i="3" s="1"/>
  <c r="G445" i="3" s="1"/>
  <c r="E446" i="3"/>
  <c r="F446" i="3" s="1"/>
  <c r="G446" i="3" s="1"/>
  <c r="E447" i="3"/>
  <c r="F447" i="3" s="1"/>
  <c r="G447" i="3" s="1"/>
  <c r="E448" i="3"/>
  <c r="F448" i="3" s="1"/>
  <c r="G448" i="3" s="1"/>
  <c r="E449" i="3"/>
  <c r="F449" i="3" s="1"/>
  <c r="G449" i="3" s="1"/>
  <c r="E450" i="3"/>
  <c r="F450" i="3" s="1"/>
  <c r="G450" i="3" s="1"/>
  <c r="E451" i="3"/>
  <c r="F451" i="3" s="1"/>
  <c r="G451" i="3" s="1"/>
  <c r="E452" i="3"/>
  <c r="F452" i="3" s="1"/>
  <c r="G452" i="3" s="1"/>
  <c r="E453" i="3"/>
  <c r="F453" i="3" s="1"/>
  <c r="G453" i="3" s="1"/>
  <c r="E454" i="3"/>
  <c r="F454" i="3" s="1"/>
  <c r="G454" i="3" s="1"/>
  <c r="E455" i="3"/>
  <c r="F455" i="3" s="1"/>
  <c r="G455" i="3" s="1"/>
  <c r="E456" i="3"/>
  <c r="F456" i="3" s="1"/>
  <c r="G456" i="3" s="1"/>
  <c r="E457" i="3"/>
  <c r="F457" i="3" s="1"/>
  <c r="G457" i="3" s="1"/>
  <c r="E458" i="3"/>
  <c r="F458" i="3" s="1"/>
  <c r="G458" i="3" s="1"/>
  <c r="E459" i="3"/>
  <c r="F459" i="3" s="1"/>
  <c r="G459" i="3" s="1"/>
  <c r="E460" i="3"/>
  <c r="F460" i="3" s="1"/>
  <c r="G460" i="3" s="1"/>
  <c r="E461" i="3"/>
  <c r="F461" i="3" s="1"/>
  <c r="G461" i="3" s="1"/>
  <c r="E462" i="3"/>
  <c r="F462" i="3" s="1"/>
  <c r="G462" i="3" s="1"/>
  <c r="E463" i="3"/>
  <c r="F463" i="3" s="1"/>
  <c r="G463" i="3" s="1"/>
  <c r="E464" i="3"/>
  <c r="F464" i="3" s="1"/>
  <c r="G464" i="3" s="1"/>
  <c r="E465" i="3"/>
  <c r="F465" i="3" s="1"/>
  <c r="G465" i="3" s="1"/>
  <c r="E466" i="3"/>
  <c r="F466" i="3" s="1"/>
  <c r="G466" i="3" s="1"/>
  <c r="E467" i="3"/>
  <c r="F467" i="3" s="1"/>
  <c r="G467" i="3" s="1"/>
  <c r="E468" i="3"/>
  <c r="F468" i="3" s="1"/>
  <c r="G468" i="3" s="1"/>
  <c r="E469" i="3"/>
  <c r="F469" i="3" s="1"/>
  <c r="G469" i="3" s="1"/>
  <c r="E470" i="3"/>
  <c r="F470" i="3" s="1"/>
  <c r="G470" i="3" s="1"/>
  <c r="E471" i="3"/>
  <c r="F471" i="3" s="1"/>
  <c r="G471" i="3" s="1"/>
  <c r="E472" i="3"/>
  <c r="F472" i="3" s="1"/>
  <c r="G472" i="3" s="1"/>
  <c r="E473" i="3"/>
  <c r="F473" i="3" s="1"/>
  <c r="G473" i="3" s="1"/>
  <c r="E474" i="3"/>
  <c r="F474" i="3" s="1"/>
  <c r="G474" i="3" s="1"/>
  <c r="E475" i="3"/>
  <c r="F475" i="3" s="1"/>
  <c r="G475" i="3" s="1"/>
  <c r="E476" i="3"/>
  <c r="F476" i="3" s="1"/>
  <c r="G476" i="3" s="1"/>
  <c r="E477" i="3"/>
  <c r="F477" i="3" s="1"/>
  <c r="G477" i="3" s="1"/>
  <c r="E478" i="3"/>
  <c r="F478" i="3" s="1"/>
  <c r="G478" i="3" s="1"/>
  <c r="E479" i="3"/>
  <c r="F479" i="3" s="1"/>
  <c r="G479" i="3" s="1"/>
  <c r="E480" i="3"/>
  <c r="F480" i="3" s="1"/>
  <c r="G480" i="3" s="1"/>
  <c r="E481" i="3"/>
  <c r="F481" i="3" s="1"/>
  <c r="G481" i="3" s="1"/>
  <c r="E482" i="3"/>
  <c r="F482" i="3" s="1"/>
  <c r="G482" i="3" s="1"/>
  <c r="E483" i="3"/>
  <c r="F483" i="3" s="1"/>
  <c r="G483" i="3" s="1"/>
  <c r="E484" i="3"/>
  <c r="F484" i="3" s="1"/>
  <c r="G484" i="3" s="1"/>
  <c r="E485" i="3"/>
  <c r="F485" i="3" s="1"/>
  <c r="G485" i="3" s="1"/>
  <c r="E486" i="3"/>
  <c r="F486" i="3" s="1"/>
  <c r="G486" i="3" s="1"/>
  <c r="E487" i="3"/>
  <c r="F487" i="3" s="1"/>
  <c r="G487" i="3" s="1"/>
  <c r="E488" i="3"/>
  <c r="F488" i="3" s="1"/>
  <c r="G488" i="3" s="1"/>
  <c r="E489" i="3"/>
  <c r="F489" i="3" s="1"/>
  <c r="G489" i="3" s="1"/>
  <c r="E490" i="3"/>
  <c r="F490" i="3" s="1"/>
  <c r="G490" i="3" s="1"/>
  <c r="E491" i="3"/>
  <c r="F491" i="3" s="1"/>
  <c r="G491" i="3" s="1"/>
  <c r="E492" i="3"/>
  <c r="F492" i="3" s="1"/>
  <c r="G492" i="3" s="1"/>
  <c r="E493" i="3"/>
  <c r="F493" i="3" s="1"/>
  <c r="G493" i="3" s="1"/>
  <c r="E494" i="3"/>
  <c r="F494" i="3" s="1"/>
  <c r="G494" i="3" s="1"/>
  <c r="E495" i="3"/>
  <c r="F495" i="3" s="1"/>
  <c r="G495" i="3" s="1"/>
  <c r="E496" i="3"/>
  <c r="F496" i="3" s="1"/>
  <c r="G496" i="3" s="1"/>
  <c r="E497" i="3"/>
  <c r="F497" i="3" s="1"/>
  <c r="G497" i="3" s="1"/>
  <c r="E498" i="3"/>
  <c r="F498" i="3" s="1"/>
  <c r="G498" i="3" s="1"/>
  <c r="E499" i="3"/>
  <c r="F499" i="3" s="1"/>
  <c r="G499" i="3" s="1"/>
  <c r="E500" i="3"/>
  <c r="F500" i="3" s="1"/>
  <c r="G500" i="3" s="1"/>
  <c r="E501" i="3"/>
  <c r="F501" i="3" s="1"/>
  <c r="G501" i="3" s="1"/>
  <c r="E502" i="3"/>
  <c r="F502" i="3" s="1"/>
  <c r="G502" i="3" s="1"/>
  <c r="E503" i="3"/>
  <c r="F503" i="3" s="1"/>
  <c r="G503" i="3" s="1"/>
  <c r="E504" i="3"/>
  <c r="F504" i="3" s="1"/>
  <c r="G504" i="3" s="1"/>
  <c r="E505" i="3"/>
  <c r="F505" i="3" s="1"/>
  <c r="G505" i="3" s="1"/>
  <c r="E506" i="3"/>
  <c r="F506" i="3" s="1"/>
  <c r="G506" i="3" s="1"/>
  <c r="E507" i="3"/>
  <c r="F507" i="3" s="1"/>
  <c r="G507" i="3" s="1"/>
  <c r="E508" i="3"/>
  <c r="F508" i="3" s="1"/>
  <c r="G508" i="3" s="1"/>
  <c r="E509" i="3"/>
  <c r="F509" i="3" s="1"/>
  <c r="G509" i="3" s="1"/>
  <c r="E510" i="3"/>
  <c r="F510" i="3" s="1"/>
  <c r="G510" i="3" s="1"/>
  <c r="E511" i="3"/>
  <c r="F511" i="3" s="1"/>
  <c r="G511" i="3" s="1"/>
  <c r="E512" i="3"/>
  <c r="F512" i="3" s="1"/>
  <c r="G512" i="3" s="1"/>
  <c r="E513" i="3"/>
  <c r="F513" i="3" s="1"/>
  <c r="G513" i="3" s="1"/>
  <c r="E514" i="3"/>
  <c r="F514" i="3" s="1"/>
  <c r="G514" i="3" s="1"/>
  <c r="E515" i="3"/>
  <c r="F515" i="3" s="1"/>
  <c r="G515" i="3" s="1"/>
  <c r="E516" i="3"/>
  <c r="F516" i="3" s="1"/>
  <c r="G516" i="3" s="1"/>
  <c r="E517" i="3"/>
  <c r="F517" i="3" s="1"/>
  <c r="G517" i="3" s="1"/>
  <c r="E518" i="3"/>
  <c r="F518" i="3" s="1"/>
  <c r="G518" i="3" s="1"/>
  <c r="E519" i="3"/>
  <c r="F519" i="3" s="1"/>
  <c r="G519" i="3" s="1"/>
  <c r="E520" i="3"/>
  <c r="F520" i="3" s="1"/>
  <c r="G520" i="3" s="1"/>
  <c r="E521" i="3"/>
  <c r="F521" i="3" s="1"/>
  <c r="G521" i="3" s="1"/>
  <c r="E522" i="3"/>
  <c r="F522" i="3" s="1"/>
  <c r="G522" i="3" s="1"/>
  <c r="E523" i="3"/>
  <c r="F523" i="3" s="1"/>
  <c r="G523" i="3" s="1"/>
  <c r="E524" i="3"/>
  <c r="F524" i="3" s="1"/>
  <c r="G524" i="3" s="1"/>
  <c r="E525" i="3"/>
  <c r="F525" i="3" s="1"/>
  <c r="G525" i="3" s="1"/>
  <c r="E526" i="3"/>
  <c r="F526" i="3" s="1"/>
  <c r="G526" i="3" s="1"/>
  <c r="E527" i="3"/>
  <c r="F527" i="3" s="1"/>
  <c r="G527" i="3" s="1"/>
  <c r="E528" i="3"/>
  <c r="F528" i="3" s="1"/>
  <c r="G528" i="3" s="1"/>
  <c r="E529" i="3"/>
  <c r="F529" i="3" s="1"/>
  <c r="G529" i="3" s="1"/>
  <c r="E530" i="3"/>
  <c r="F530" i="3" s="1"/>
  <c r="G530" i="3" s="1"/>
  <c r="E531" i="3"/>
  <c r="F531" i="3" s="1"/>
  <c r="G531" i="3" s="1"/>
  <c r="E532" i="3"/>
  <c r="F532" i="3" s="1"/>
  <c r="G532" i="3" s="1"/>
  <c r="E533" i="3"/>
  <c r="F533" i="3" s="1"/>
  <c r="G533" i="3" s="1"/>
  <c r="E534" i="3"/>
  <c r="F534" i="3" s="1"/>
  <c r="G534" i="3" s="1"/>
  <c r="E535" i="3"/>
  <c r="F535" i="3" s="1"/>
  <c r="G535" i="3" s="1"/>
  <c r="E536" i="3"/>
  <c r="F536" i="3" s="1"/>
  <c r="G536" i="3" s="1"/>
  <c r="E537" i="3"/>
  <c r="F537" i="3" s="1"/>
  <c r="G537" i="3" s="1"/>
  <c r="E538" i="3"/>
  <c r="F538" i="3" s="1"/>
  <c r="G538" i="3" s="1"/>
  <c r="E539" i="3"/>
  <c r="F539" i="3" s="1"/>
  <c r="G539" i="3" s="1"/>
  <c r="E540" i="3"/>
  <c r="F540" i="3" s="1"/>
  <c r="G540" i="3" s="1"/>
  <c r="E541" i="3"/>
  <c r="F541" i="3" s="1"/>
  <c r="G541" i="3" s="1"/>
  <c r="E542" i="3"/>
  <c r="F542" i="3" s="1"/>
  <c r="G542" i="3" s="1"/>
  <c r="E543" i="3"/>
  <c r="F543" i="3" s="1"/>
  <c r="G543" i="3" s="1"/>
  <c r="E544" i="3"/>
  <c r="F544" i="3" s="1"/>
  <c r="G544" i="3" s="1"/>
  <c r="E545" i="3"/>
  <c r="F545" i="3" s="1"/>
  <c r="G545" i="3" s="1"/>
  <c r="E546" i="3"/>
  <c r="F546" i="3" s="1"/>
  <c r="G546" i="3" s="1"/>
  <c r="E547" i="3"/>
  <c r="F547" i="3" s="1"/>
  <c r="G547" i="3" s="1"/>
  <c r="E548" i="3"/>
  <c r="F548" i="3" s="1"/>
  <c r="G548" i="3" s="1"/>
  <c r="E549" i="3"/>
  <c r="F549" i="3" s="1"/>
  <c r="G549" i="3" s="1"/>
  <c r="E550" i="3"/>
  <c r="F550" i="3" s="1"/>
  <c r="G550" i="3" s="1"/>
  <c r="E551" i="3"/>
  <c r="F551" i="3" s="1"/>
  <c r="G551" i="3" s="1"/>
  <c r="E552" i="3"/>
  <c r="F552" i="3" s="1"/>
  <c r="G552" i="3" s="1"/>
  <c r="E553" i="3"/>
  <c r="F553" i="3" s="1"/>
  <c r="G553" i="3" s="1"/>
  <c r="E554" i="3"/>
  <c r="F554" i="3" s="1"/>
  <c r="G554" i="3" s="1"/>
  <c r="E555" i="3"/>
  <c r="F555" i="3" s="1"/>
  <c r="G555" i="3" s="1"/>
  <c r="E556" i="3"/>
  <c r="F556" i="3" s="1"/>
  <c r="G556" i="3" s="1"/>
  <c r="E557" i="3"/>
  <c r="F557" i="3" s="1"/>
  <c r="G557" i="3" s="1"/>
  <c r="E558" i="3"/>
  <c r="F558" i="3" s="1"/>
  <c r="G558" i="3" s="1"/>
  <c r="E559" i="3"/>
  <c r="F559" i="3" s="1"/>
  <c r="G559" i="3" s="1"/>
  <c r="E560" i="3"/>
  <c r="F560" i="3" s="1"/>
  <c r="G560" i="3" s="1"/>
  <c r="E561" i="3"/>
  <c r="F561" i="3" s="1"/>
  <c r="G561" i="3" s="1"/>
  <c r="E562" i="3"/>
  <c r="F562" i="3" s="1"/>
  <c r="G562" i="3" s="1"/>
  <c r="E563" i="3"/>
  <c r="F563" i="3" s="1"/>
  <c r="G563" i="3" s="1"/>
  <c r="E564" i="3"/>
  <c r="F564" i="3" s="1"/>
  <c r="G564" i="3" s="1"/>
  <c r="E565" i="3"/>
  <c r="F565" i="3" s="1"/>
  <c r="G565" i="3" s="1"/>
  <c r="E566" i="3"/>
  <c r="F566" i="3" s="1"/>
  <c r="G566" i="3" s="1"/>
  <c r="E567" i="3"/>
  <c r="F567" i="3" s="1"/>
  <c r="G567" i="3" s="1"/>
  <c r="E568" i="3"/>
  <c r="F568" i="3" s="1"/>
  <c r="G568" i="3" s="1"/>
  <c r="E569" i="3"/>
  <c r="F569" i="3" s="1"/>
  <c r="G569" i="3" s="1"/>
  <c r="E570" i="3"/>
  <c r="F570" i="3" s="1"/>
  <c r="G570" i="3" s="1"/>
  <c r="E571" i="3"/>
  <c r="F571" i="3" s="1"/>
  <c r="G571" i="3" s="1"/>
  <c r="E572" i="3"/>
  <c r="F572" i="3" s="1"/>
  <c r="G572" i="3" s="1"/>
  <c r="E573" i="3"/>
  <c r="F573" i="3" s="1"/>
  <c r="G573" i="3" s="1"/>
  <c r="E574" i="3"/>
  <c r="F574" i="3" s="1"/>
  <c r="G574" i="3" s="1"/>
  <c r="E575" i="3"/>
  <c r="F575" i="3" s="1"/>
  <c r="G575" i="3" s="1"/>
  <c r="E576" i="3"/>
  <c r="F576" i="3" s="1"/>
  <c r="G576" i="3" s="1"/>
  <c r="E577" i="3"/>
  <c r="F577" i="3" s="1"/>
  <c r="G577" i="3" s="1"/>
  <c r="E578" i="3"/>
  <c r="F578" i="3" s="1"/>
  <c r="G578" i="3" s="1"/>
  <c r="E579" i="3"/>
  <c r="F579" i="3" s="1"/>
  <c r="G579" i="3" s="1"/>
  <c r="E580" i="3"/>
  <c r="F580" i="3" s="1"/>
  <c r="G580" i="3" s="1"/>
  <c r="E581" i="3"/>
  <c r="F581" i="3" s="1"/>
  <c r="G581" i="3" s="1"/>
  <c r="E582" i="3"/>
  <c r="F582" i="3" s="1"/>
  <c r="G582" i="3" s="1"/>
  <c r="E583" i="3"/>
  <c r="F583" i="3" s="1"/>
  <c r="G583" i="3" s="1"/>
  <c r="E584" i="3"/>
  <c r="F584" i="3" s="1"/>
  <c r="G584" i="3" s="1"/>
  <c r="E585" i="3"/>
  <c r="F585" i="3" s="1"/>
  <c r="G585" i="3" s="1"/>
  <c r="E586" i="3"/>
  <c r="F586" i="3" s="1"/>
  <c r="G586" i="3" s="1"/>
  <c r="E587" i="3"/>
  <c r="F587" i="3" s="1"/>
  <c r="G587" i="3" s="1"/>
  <c r="E588" i="3"/>
  <c r="F588" i="3" s="1"/>
  <c r="G588" i="3" s="1"/>
  <c r="E589" i="3"/>
  <c r="F589" i="3" s="1"/>
  <c r="G589" i="3" s="1"/>
  <c r="E590" i="3"/>
  <c r="F590" i="3" s="1"/>
  <c r="G590" i="3" s="1"/>
  <c r="E591" i="3"/>
  <c r="F591" i="3" s="1"/>
  <c r="G591" i="3" s="1"/>
  <c r="E592" i="3"/>
  <c r="F592" i="3" s="1"/>
  <c r="G592" i="3" s="1"/>
  <c r="E593" i="3"/>
  <c r="F593" i="3" s="1"/>
  <c r="G593" i="3" s="1"/>
  <c r="E594" i="3"/>
  <c r="F594" i="3" s="1"/>
  <c r="G594" i="3" s="1"/>
  <c r="E595" i="3"/>
  <c r="F595" i="3" s="1"/>
  <c r="G595" i="3" s="1"/>
  <c r="E596" i="3"/>
  <c r="F596" i="3" s="1"/>
  <c r="G596" i="3" s="1"/>
  <c r="E597" i="3"/>
  <c r="F597" i="3" s="1"/>
  <c r="G597" i="3" s="1"/>
  <c r="E598" i="3"/>
  <c r="F598" i="3" s="1"/>
  <c r="G598" i="3" s="1"/>
  <c r="E599" i="3"/>
  <c r="F599" i="3" s="1"/>
  <c r="G599" i="3" s="1"/>
  <c r="E600" i="3"/>
  <c r="F600" i="3" s="1"/>
  <c r="G600" i="3" s="1"/>
  <c r="E601" i="3"/>
  <c r="F601" i="3" s="1"/>
  <c r="G601" i="3" s="1"/>
  <c r="E602" i="3"/>
  <c r="F602" i="3" s="1"/>
  <c r="G602" i="3" s="1"/>
  <c r="E603" i="3"/>
  <c r="F603" i="3" s="1"/>
  <c r="G603" i="3" s="1"/>
  <c r="E604" i="3"/>
  <c r="F604" i="3" s="1"/>
  <c r="G604" i="3" s="1"/>
  <c r="E605" i="3"/>
  <c r="F605" i="3" s="1"/>
  <c r="G605" i="3" s="1"/>
  <c r="E606" i="3"/>
  <c r="F606" i="3" s="1"/>
  <c r="G606" i="3" s="1"/>
  <c r="E607" i="3"/>
  <c r="F607" i="3" s="1"/>
  <c r="G607" i="3" s="1"/>
  <c r="E608" i="3"/>
  <c r="F608" i="3" s="1"/>
  <c r="G608" i="3" s="1"/>
  <c r="E609" i="3"/>
  <c r="F609" i="3" s="1"/>
  <c r="G609" i="3" s="1"/>
  <c r="E610" i="3"/>
  <c r="F610" i="3" s="1"/>
  <c r="G610" i="3" s="1"/>
  <c r="E611" i="3"/>
  <c r="F611" i="3" s="1"/>
  <c r="G611" i="3" s="1"/>
  <c r="E612" i="3"/>
  <c r="F612" i="3" s="1"/>
  <c r="G612" i="3" s="1"/>
  <c r="E613" i="3"/>
  <c r="F613" i="3" s="1"/>
  <c r="G613" i="3" s="1"/>
  <c r="E614" i="3"/>
  <c r="F614" i="3" s="1"/>
  <c r="G614" i="3" s="1"/>
  <c r="E615" i="3"/>
  <c r="F615" i="3" s="1"/>
  <c r="G615" i="3" s="1"/>
  <c r="E616" i="3"/>
  <c r="F616" i="3" s="1"/>
  <c r="G616" i="3" s="1"/>
  <c r="E617" i="3"/>
  <c r="F617" i="3" s="1"/>
  <c r="G617" i="3" s="1"/>
  <c r="E618" i="3"/>
  <c r="F618" i="3" s="1"/>
  <c r="G618" i="3" s="1"/>
  <c r="E619" i="3"/>
  <c r="F619" i="3" s="1"/>
  <c r="G619" i="3" s="1"/>
  <c r="E620" i="3"/>
  <c r="F620" i="3" s="1"/>
  <c r="G620" i="3" s="1"/>
  <c r="E621" i="3"/>
  <c r="F621" i="3" s="1"/>
  <c r="G621" i="3" s="1"/>
  <c r="E622" i="3"/>
  <c r="F622" i="3" s="1"/>
  <c r="G622" i="3" s="1"/>
  <c r="E623" i="3"/>
  <c r="F623" i="3" s="1"/>
  <c r="G623" i="3" s="1"/>
  <c r="E624" i="3"/>
  <c r="F624" i="3" s="1"/>
  <c r="G624" i="3" s="1"/>
  <c r="E625" i="3"/>
  <c r="F625" i="3" s="1"/>
  <c r="G625" i="3" s="1"/>
  <c r="E626" i="3"/>
  <c r="F626" i="3" s="1"/>
  <c r="G626" i="3" s="1"/>
  <c r="E627" i="3"/>
  <c r="F627" i="3" s="1"/>
  <c r="G627" i="3" s="1"/>
  <c r="E628" i="3"/>
  <c r="F628" i="3" s="1"/>
  <c r="G628" i="3" s="1"/>
  <c r="E629" i="3"/>
  <c r="F629" i="3" s="1"/>
  <c r="G629" i="3" s="1"/>
  <c r="E630" i="3"/>
  <c r="F630" i="3" s="1"/>
  <c r="G630" i="3" s="1"/>
  <c r="E631" i="3"/>
  <c r="F631" i="3" s="1"/>
  <c r="G631" i="3" s="1"/>
  <c r="E632" i="3"/>
  <c r="F632" i="3" s="1"/>
  <c r="G632" i="3" s="1"/>
  <c r="E633" i="3"/>
  <c r="F633" i="3" s="1"/>
  <c r="G633" i="3" s="1"/>
  <c r="E634" i="3"/>
  <c r="F634" i="3" s="1"/>
  <c r="G634" i="3" s="1"/>
  <c r="E635" i="3"/>
  <c r="F635" i="3" s="1"/>
  <c r="G635" i="3" s="1"/>
  <c r="E636" i="3"/>
  <c r="F636" i="3" s="1"/>
  <c r="G636" i="3" s="1"/>
  <c r="E637" i="3"/>
  <c r="F637" i="3" s="1"/>
  <c r="G637" i="3" s="1"/>
  <c r="E638" i="3"/>
  <c r="F638" i="3" s="1"/>
  <c r="G638" i="3" s="1"/>
  <c r="E639" i="3"/>
  <c r="F639" i="3" s="1"/>
  <c r="G639" i="3" s="1"/>
  <c r="E640" i="3"/>
  <c r="F640" i="3" s="1"/>
  <c r="G640" i="3" s="1"/>
  <c r="E641" i="3"/>
  <c r="F641" i="3" s="1"/>
  <c r="G641" i="3" s="1"/>
  <c r="E642" i="3"/>
  <c r="F642" i="3" s="1"/>
  <c r="G642" i="3" s="1"/>
  <c r="E643" i="3"/>
  <c r="F643" i="3" s="1"/>
  <c r="G643" i="3" s="1"/>
  <c r="E644" i="3"/>
  <c r="F644" i="3" s="1"/>
  <c r="G644" i="3" s="1"/>
  <c r="E645" i="3"/>
  <c r="F645" i="3" s="1"/>
  <c r="G645" i="3" s="1"/>
  <c r="E646" i="3"/>
  <c r="F646" i="3" s="1"/>
  <c r="G646" i="3" s="1"/>
  <c r="E647" i="3"/>
  <c r="F647" i="3" s="1"/>
  <c r="G647" i="3" s="1"/>
  <c r="E648" i="3"/>
  <c r="F648" i="3" s="1"/>
  <c r="G648" i="3" s="1"/>
  <c r="E649" i="3"/>
  <c r="F649" i="3" s="1"/>
  <c r="G649" i="3" s="1"/>
  <c r="E650" i="3"/>
  <c r="F650" i="3" s="1"/>
  <c r="G650" i="3" s="1"/>
  <c r="E651" i="3"/>
  <c r="F651" i="3" s="1"/>
  <c r="G651" i="3" s="1"/>
  <c r="E652" i="3"/>
  <c r="F652" i="3" s="1"/>
  <c r="G652" i="3" s="1"/>
  <c r="E653" i="3"/>
  <c r="F653" i="3" s="1"/>
  <c r="G653" i="3" s="1"/>
  <c r="E654" i="3"/>
  <c r="F654" i="3" s="1"/>
  <c r="G654" i="3" s="1"/>
  <c r="E655" i="3"/>
  <c r="F655" i="3" s="1"/>
  <c r="G655" i="3" s="1"/>
  <c r="E656" i="3"/>
  <c r="F656" i="3" s="1"/>
  <c r="G656" i="3" s="1"/>
  <c r="E657" i="3"/>
  <c r="F657" i="3" s="1"/>
  <c r="G657" i="3" s="1"/>
  <c r="E658" i="3"/>
  <c r="F658" i="3" s="1"/>
  <c r="G658" i="3" s="1"/>
  <c r="E659" i="3"/>
  <c r="F659" i="3" s="1"/>
  <c r="G659" i="3" s="1"/>
  <c r="E660" i="3"/>
  <c r="F660" i="3" s="1"/>
  <c r="G660" i="3" s="1"/>
  <c r="E661" i="3"/>
  <c r="F661" i="3" s="1"/>
  <c r="G661" i="3" s="1"/>
  <c r="E662" i="3"/>
  <c r="F662" i="3" s="1"/>
  <c r="G662" i="3" s="1"/>
  <c r="E663" i="3"/>
  <c r="F663" i="3" s="1"/>
  <c r="G663" i="3" s="1"/>
  <c r="E664" i="3"/>
  <c r="F664" i="3" s="1"/>
  <c r="G664" i="3" s="1"/>
  <c r="E665" i="3"/>
  <c r="F665" i="3" s="1"/>
  <c r="G665" i="3" s="1"/>
  <c r="E666" i="3"/>
  <c r="F666" i="3" s="1"/>
  <c r="G666" i="3" s="1"/>
  <c r="E667" i="3"/>
  <c r="F667" i="3" s="1"/>
  <c r="G667" i="3" s="1"/>
  <c r="E668" i="3"/>
  <c r="F668" i="3" s="1"/>
  <c r="G668" i="3" s="1"/>
  <c r="E669" i="3"/>
  <c r="F669" i="3" s="1"/>
  <c r="G669" i="3" s="1"/>
  <c r="E670" i="3"/>
  <c r="F670" i="3" s="1"/>
  <c r="G670" i="3" s="1"/>
  <c r="E671" i="3"/>
  <c r="F671" i="3" s="1"/>
  <c r="G671" i="3" s="1"/>
  <c r="E672" i="3"/>
  <c r="F672" i="3" s="1"/>
  <c r="G672" i="3" s="1"/>
  <c r="E673" i="3"/>
  <c r="F673" i="3" s="1"/>
  <c r="G673" i="3" s="1"/>
  <c r="E674" i="3"/>
  <c r="F674" i="3" s="1"/>
  <c r="G674" i="3" s="1"/>
  <c r="E675" i="3"/>
  <c r="F675" i="3" s="1"/>
  <c r="G675" i="3" s="1"/>
  <c r="E676" i="3"/>
  <c r="F676" i="3" s="1"/>
  <c r="G676" i="3" s="1"/>
  <c r="E677" i="3"/>
  <c r="F677" i="3" s="1"/>
  <c r="G677" i="3" s="1"/>
  <c r="E678" i="3"/>
  <c r="F678" i="3" s="1"/>
  <c r="G678" i="3" s="1"/>
  <c r="E679" i="3"/>
  <c r="F679" i="3" s="1"/>
  <c r="G679" i="3" s="1"/>
  <c r="E680" i="3"/>
  <c r="F680" i="3" s="1"/>
  <c r="G680" i="3" s="1"/>
  <c r="E681" i="3"/>
  <c r="F681" i="3" s="1"/>
  <c r="G681" i="3" s="1"/>
  <c r="E682" i="3"/>
  <c r="F682" i="3" s="1"/>
  <c r="G682" i="3" s="1"/>
  <c r="E683" i="3"/>
  <c r="F683" i="3" s="1"/>
  <c r="G683" i="3" s="1"/>
  <c r="E684" i="3"/>
  <c r="F684" i="3" s="1"/>
  <c r="G684" i="3" s="1"/>
  <c r="E685" i="3"/>
  <c r="F685" i="3" s="1"/>
  <c r="G685" i="3" s="1"/>
  <c r="E686" i="3"/>
  <c r="F686" i="3" s="1"/>
  <c r="G686" i="3" s="1"/>
  <c r="E687" i="3"/>
  <c r="F687" i="3" s="1"/>
  <c r="G687" i="3" s="1"/>
  <c r="E688" i="3"/>
  <c r="F688" i="3" s="1"/>
  <c r="G688" i="3" s="1"/>
  <c r="E689" i="3"/>
  <c r="F689" i="3" s="1"/>
  <c r="G689" i="3" s="1"/>
  <c r="E690" i="3"/>
  <c r="F690" i="3" s="1"/>
  <c r="G690" i="3" s="1"/>
  <c r="E691" i="3"/>
  <c r="F691" i="3" s="1"/>
  <c r="G691" i="3" s="1"/>
  <c r="E692" i="3"/>
  <c r="F692" i="3" s="1"/>
  <c r="G692" i="3" s="1"/>
  <c r="E693" i="3"/>
  <c r="F693" i="3" s="1"/>
  <c r="G693" i="3" s="1"/>
  <c r="E694" i="3"/>
  <c r="F694" i="3" s="1"/>
  <c r="G694" i="3" s="1"/>
  <c r="E695" i="3"/>
  <c r="F695" i="3" s="1"/>
  <c r="G695" i="3" s="1"/>
  <c r="E696" i="3"/>
  <c r="F696" i="3" s="1"/>
  <c r="G696" i="3" s="1"/>
  <c r="E697" i="3"/>
  <c r="F697" i="3" s="1"/>
  <c r="G697" i="3" s="1"/>
  <c r="E698" i="3"/>
  <c r="F698" i="3" s="1"/>
  <c r="G698" i="3" s="1"/>
  <c r="E699" i="3"/>
  <c r="F699" i="3" s="1"/>
  <c r="G699" i="3" s="1"/>
  <c r="E700" i="3"/>
  <c r="F700" i="3" s="1"/>
  <c r="G700" i="3" s="1"/>
  <c r="E701" i="3"/>
  <c r="F701" i="3" s="1"/>
  <c r="G701" i="3" s="1"/>
  <c r="E702" i="3"/>
  <c r="F702" i="3" s="1"/>
  <c r="G702" i="3" s="1"/>
  <c r="E703" i="3"/>
  <c r="F703" i="3" s="1"/>
  <c r="G703" i="3" s="1"/>
  <c r="E704" i="3"/>
  <c r="F704" i="3" s="1"/>
  <c r="G704" i="3" s="1"/>
  <c r="E705" i="3"/>
  <c r="F705" i="3" s="1"/>
  <c r="G705" i="3" s="1"/>
  <c r="E706" i="3"/>
  <c r="F706" i="3" s="1"/>
  <c r="G706" i="3" s="1"/>
  <c r="E707" i="3"/>
  <c r="F707" i="3" s="1"/>
  <c r="G707" i="3" s="1"/>
  <c r="E708" i="3"/>
  <c r="F708" i="3" s="1"/>
  <c r="G708" i="3" s="1"/>
  <c r="E709" i="3"/>
  <c r="F709" i="3" s="1"/>
  <c r="G709" i="3" s="1"/>
  <c r="E710" i="3"/>
  <c r="F710" i="3" s="1"/>
  <c r="G710" i="3" s="1"/>
  <c r="E711" i="3"/>
  <c r="F711" i="3" s="1"/>
  <c r="G711" i="3" s="1"/>
  <c r="E712" i="3"/>
  <c r="F712" i="3" s="1"/>
  <c r="G712" i="3" s="1"/>
  <c r="E713" i="3"/>
  <c r="F713" i="3" s="1"/>
  <c r="G713" i="3" s="1"/>
  <c r="E714" i="3"/>
  <c r="F714" i="3" s="1"/>
  <c r="G714" i="3" s="1"/>
  <c r="E715" i="3"/>
  <c r="F715" i="3" s="1"/>
  <c r="G715" i="3" s="1"/>
  <c r="E716" i="3"/>
  <c r="F716" i="3" s="1"/>
  <c r="G716" i="3" s="1"/>
  <c r="E717" i="3"/>
  <c r="F717" i="3" s="1"/>
  <c r="G717" i="3" s="1"/>
  <c r="E718" i="3"/>
  <c r="F718" i="3" s="1"/>
  <c r="G718" i="3" s="1"/>
  <c r="E719" i="3"/>
  <c r="F719" i="3" s="1"/>
  <c r="G719" i="3" s="1"/>
  <c r="E720" i="3"/>
  <c r="F720" i="3" s="1"/>
  <c r="G720" i="3" s="1"/>
  <c r="E721" i="3"/>
  <c r="F721" i="3" s="1"/>
  <c r="G721" i="3" s="1"/>
  <c r="E722" i="3"/>
  <c r="F722" i="3" s="1"/>
  <c r="G722" i="3" s="1"/>
  <c r="E723" i="3"/>
  <c r="F723" i="3" s="1"/>
  <c r="G723" i="3" s="1"/>
  <c r="E724" i="3"/>
  <c r="F724" i="3" s="1"/>
  <c r="G724" i="3" s="1"/>
  <c r="E725" i="3"/>
  <c r="F725" i="3" s="1"/>
  <c r="G725" i="3" s="1"/>
  <c r="E726" i="3"/>
  <c r="F726" i="3" s="1"/>
  <c r="G726" i="3" s="1"/>
  <c r="E727" i="3"/>
  <c r="F727" i="3" s="1"/>
  <c r="G727" i="3" s="1"/>
  <c r="E728" i="3"/>
  <c r="F728" i="3" s="1"/>
  <c r="G728" i="3" s="1"/>
  <c r="E729" i="3"/>
  <c r="F729" i="3" s="1"/>
  <c r="G729" i="3" s="1"/>
  <c r="E730" i="3"/>
  <c r="F730" i="3" s="1"/>
  <c r="G730" i="3" s="1"/>
  <c r="E731" i="3"/>
  <c r="F731" i="3" s="1"/>
  <c r="G731" i="3" s="1"/>
  <c r="E732" i="3"/>
  <c r="F732" i="3" s="1"/>
  <c r="G732" i="3" s="1"/>
  <c r="E733" i="3"/>
  <c r="F733" i="3" s="1"/>
  <c r="G733" i="3" s="1"/>
  <c r="E734" i="3"/>
  <c r="F734" i="3" s="1"/>
  <c r="G734" i="3" s="1"/>
  <c r="E735" i="3"/>
  <c r="F735" i="3" s="1"/>
  <c r="G735" i="3" s="1"/>
  <c r="E736" i="3"/>
  <c r="F736" i="3" s="1"/>
  <c r="G736" i="3" s="1"/>
  <c r="E737" i="3"/>
  <c r="F737" i="3" s="1"/>
  <c r="G737" i="3" s="1"/>
  <c r="E738" i="3"/>
  <c r="F738" i="3" s="1"/>
  <c r="G738" i="3" s="1"/>
  <c r="E739" i="3"/>
  <c r="F739" i="3" s="1"/>
  <c r="G739" i="3" s="1"/>
  <c r="E740" i="3"/>
  <c r="F740" i="3" s="1"/>
  <c r="G740" i="3" s="1"/>
  <c r="E741" i="3"/>
  <c r="F741" i="3" s="1"/>
  <c r="G741" i="3" s="1"/>
  <c r="E742" i="3"/>
  <c r="F742" i="3" s="1"/>
  <c r="G742" i="3" s="1"/>
  <c r="E743" i="3"/>
  <c r="F743" i="3" s="1"/>
  <c r="G743" i="3" s="1"/>
  <c r="E744" i="3"/>
  <c r="F744" i="3" s="1"/>
  <c r="G744" i="3" s="1"/>
  <c r="E745" i="3"/>
  <c r="F745" i="3" s="1"/>
  <c r="G745" i="3" s="1"/>
  <c r="E746" i="3"/>
  <c r="F746" i="3" s="1"/>
  <c r="G746" i="3" s="1"/>
  <c r="E747" i="3"/>
  <c r="F747" i="3" s="1"/>
  <c r="G747" i="3" s="1"/>
  <c r="E748" i="3"/>
  <c r="F748" i="3" s="1"/>
  <c r="G748" i="3" s="1"/>
  <c r="E749" i="3"/>
  <c r="F749" i="3" s="1"/>
  <c r="G749" i="3" s="1"/>
  <c r="E750" i="3"/>
  <c r="F750" i="3" s="1"/>
  <c r="G750" i="3" s="1"/>
  <c r="E751" i="3"/>
  <c r="F751" i="3" s="1"/>
  <c r="G751" i="3" s="1"/>
  <c r="E752" i="3"/>
  <c r="F752" i="3" s="1"/>
  <c r="G752" i="3" s="1"/>
  <c r="E753" i="3"/>
  <c r="F753" i="3" s="1"/>
  <c r="G753" i="3" s="1"/>
  <c r="E754" i="3"/>
  <c r="F754" i="3" s="1"/>
  <c r="G754" i="3" s="1"/>
  <c r="E755" i="3"/>
  <c r="F755" i="3" s="1"/>
  <c r="G755" i="3" s="1"/>
  <c r="E756" i="3"/>
  <c r="F756" i="3" s="1"/>
  <c r="G756" i="3" s="1"/>
  <c r="E757" i="3"/>
  <c r="F757" i="3" s="1"/>
  <c r="G757" i="3" s="1"/>
  <c r="E758" i="3"/>
  <c r="F758" i="3" s="1"/>
  <c r="G758" i="3" s="1"/>
  <c r="E759" i="3"/>
  <c r="F759" i="3" s="1"/>
  <c r="G759" i="3" s="1"/>
  <c r="E760" i="3"/>
  <c r="F760" i="3" s="1"/>
  <c r="G760" i="3" s="1"/>
  <c r="E761" i="3"/>
  <c r="F761" i="3" s="1"/>
  <c r="G761" i="3" s="1"/>
  <c r="E762" i="3"/>
  <c r="F762" i="3" s="1"/>
  <c r="G762" i="3" s="1"/>
  <c r="E763" i="3"/>
  <c r="F763" i="3" s="1"/>
  <c r="G763" i="3" s="1"/>
  <c r="E764" i="3"/>
  <c r="F764" i="3" s="1"/>
  <c r="G764" i="3" s="1"/>
  <c r="E765" i="3"/>
  <c r="F765" i="3" s="1"/>
  <c r="G765" i="3" s="1"/>
  <c r="E766" i="3"/>
  <c r="F766" i="3" s="1"/>
  <c r="G766" i="3" s="1"/>
  <c r="E767" i="3"/>
  <c r="F767" i="3" s="1"/>
  <c r="G767" i="3" s="1"/>
  <c r="E768" i="3"/>
  <c r="F768" i="3" s="1"/>
  <c r="G768" i="3" s="1"/>
  <c r="E769" i="3"/>
  <c r="F769" i="3" s="1"/>
  <c r="G769" i="3" s="1"/>
  <c r="E770" i="3"/>
  <c r="F770" i="3" s="1"/>
  <c r="G770" i="3" s="1"/>
  <c r="E771" i="3"/>
  <c r="F771" i="3" s="1"/>
  <c r="G771" i="3" s="1"/>
  <c r="E772" i="3"/>
  <c r="F772" i="3" s="1"/>
  <c r="G772" i="3" s="1"/>
  <c r="E773" i="3"/>
  <c r="F773" i="3" s="1"/>
  <c r="G773" i="3" s="1"/>
  <c r="E774" i="3"/>
  <c r="F774" i="3" s="1"/>
  <c r="G774" i="3" s="1"/>
  <c r="E775" i="3"/>
  <c r="F775" i="3" s="1"/>
  <c r="G775" i="3" s="1"/>
  <c r="E776" i="3"/>
  <c r="F776" i="3" s="1"/>
  <c r="G776" i="3" s="1"/>
  <c r="E777" i="3"/>
  <c r="F777" i="3" s="1"/>
  <c r="G777" i="3" s="1"/>
  <c r="E778" i="3"/>
  <c r="F778" i="3" s="1"/>
  <c r="G778" i="3" s="1"/>
  <c r="E779" i="3"/>
  <c r="F779" i="3" s="1"/>
  <c r="G779" i="3" s="1"/>
  <c r="E780" i="3"/>
  <c r="F780" i="3" s="1"/>
  <c r="G780" i="3" s="1"/>
  <c r="E781" i="3"/>
  <c r="F781" i="3" s="1"/>
  <c r="G781" i="3" s="1"/>
  <c r="E782" i="3"/>
  <c r="F782" i="3" s="1"/>
  <c r="G782" i="3" s="1"/>
  <c r="E783" i="3"/>
  <c r="F783" i="3" s="1"/>
  <c r="G783" i="3" s="1"/>
  <c r="E784" i="3"/>
  <c r="F784" i="3" s="1"/>
  <c r="G784" i="3" s="1"/>
  <c r="E785" i="3"/>
  <c r="F785" i="3" s="1"/>
  <c r="G785" i="3" s="1"/>
  <c r="E786" i="3"/>
  <c r="F786" i="3" s="1"/>
  <c r="G786" i="3" s="1"/>
  <c r="E787" i="3"/>
  <c r="F787" i="3" s="1"/>
  <c r="G787" i="3" s="1"/>
  <c r="E788" i="3"/>
  <c r="F788" i="3" s="1"/>
  <c r="G788" i="3" s="1"/>
  <c r="E789" i="3"/>
  <c r="F789" i="3" s="1"/>
  <c r="G789" i="3" s="1"/>
  <c r="E790" i="3"/>
  <c r="F790" i="3" s="1"/>
  <c r="G790" i="3" s="1"/>
  <c r="E791" i="3"/>
  <c r="F791" i="3" s="1"/>
  <c r="G791" i="3" s="1"/>
  <c r="E792" i="3"/>
  <c r="F792" i="3" s="1"/>
  <c r="G792" i="3" s="1"/>
  <c r="E793" i="3"/>
  <c r="F793" i="3" s="1"/>
  <c r="G793" i="3" s="1"/>
  <c r="E794" i="3"/>
  <c r="F794" i="3" s="1"/>
  <c r="G794" i="3" s="1"/>
  <c r="E795" i="3"/>
  <c r="F795" i="3" s="1"/>
  <c r="G795" i="3" s="1"/>
  <c r="E796" i="3"/>
  <c r="F796" i="3" s="1"/>
  <c r="G796" i="3" s="1"/>
  <c r="E797" i="3"/>
  <c r="F797" i="3" s="1"/>
  <c r="G797" i="3" s="1"/>
  <c r="E798" i="3"/>
  <c r="F798" i="3" s="1"/>
  <c r="G798" i="3" s="1"/>
  <c r="E799" i="3"/>
  <c r="F799" i="3" s="1"/>
  <c r="G799" i="3" s="1"/>
  <c r="E800" i="3"/>
  <c r="F800" i="3" s="1"/>
  <c r="G800" i="3" s="1"/>
  <c r="E801" i="3"/>
  <c r="F801" i="3" s="1"/>
  <c r="G801" i="3" s="1"/>
  <c r="E802" i="3"/>
  <c r="F802" i="3" s="1"/>
  <c r="G802" i="3" s="1"/>
  <c r="E803" i="3"/>
  <c r="F803" i="3" s="1"/>
  <c r="G803" i="3" s="1"/>
  <c r="E804" i="3"/>
  <c r="F804" i="3" s="1"/>
  <c r="G804" i="3" s="1"/>
  <c r="E805" i="3"/>
  <c r="F805" i="3" s="1"/>
  <c r="G805" i="3" s="1"/>
  <c r="E806" i="3"/>
  <c r="F806" i="3" s="1"/>
  <c r="G806" i="3" s="1"/>
  <c r="E807" i="3"/>
  <c r="F807" i="3" s="1"/>
  <c r="G807" i="3" s="1"/>
  <c r="E808" i="3"/>
  <c r="F808" i="3" s="1"/>
  <c r="G808" i="3" s="1"/>
  <c r="E809" i="3"/>
  <c r="F809" i="3" s="1"/>
  <c r="G809" i="3" s="1"/>
  <c r="E810" i="3"/>
  <c r="F810" i="3" s="1"/>
  <c r="G810" i="3" s="1"/>
  <c r="E811" i="3"/>
  <c r="F811" i="3" s="1"/>
  <c r="G811" i="3" s="1"/>
  <c r="E812" i="3"/>
  <c r="F812" i="3" s="1"/>
  <c r="G812" i="3" s="1"/>
  <c r="E813" i="3"/>
  <c r="F813" i="3" s="1"/>
  <c r="G813" i="3" s="1"/>
  <c r="E814" i="3"/>
  <c r="F814" i="3" s="1"/>
  <c r="G814" i="3" s="1"/>
  <c r="E815" i="3"/>
  <c r="F815" i="3" s="1"/>
  <c r="G815" i="3" s="1"/>
  <c r="E816" i="3"/>
  <c r="F816" i="3" s="1"/>
  <c r="G816" i="3" s="1"/>
  <c r="E817" i="3"/>
  <c r="F817" i="3" s="1"/>
  <c r="G817" i="3" s="1"/>
  <c r="E818" i="3"/>
  <c r="F818" i="3" s="1"/>
  <c r="G818" i="3" s="1"/>
  <c r="E819" i="3"/>
  <c r="F819" i="3" s="1"/>
  <c r="G819" i="3" s="1"/>
  <c r="E820" i="3"/>
  <c r="F820" i="3" s="1"/>
  <c r="G820" i="3" s="1"/>
  <c r="E821" i="3"/>
  <c r="F821" i="3" s="1"/>
  <c r="G821" i="3" s="1"/>
  <c r="E822" i="3"/>
  <c r="F822" i="3" s="1"/>
  <c r="G822" i="3" s="1"/>
  <c r="E823" i="3"/>
  <c r="F823" i="3" s="1"/>
  <c r="G823" i="3" s="1"/>
  <c r="E824" i="3"/>
  <c r="F824" i="3" s="1"/>
  <c r="G824" i="3" s="1"/>
  <c r="E825" i="3"/>
  <c r="F825" i="3" s="1"/>
  <c r="G825" i="3" s="1"/>
  <c r="E826" i="3"/>
  <c r="F826" i="3" s="1"/>
  <c r="G826" i="3" s="1"/>
  <c r="E827" i="3"/>
  <c r="F827" i="3" s="1"/>
  <c r="G827" i="3" s="1"/>
  <c r="E828" i="3"/>
  <c r="F828" i="3" s="1"/>
  <c r="G828" i="3" s="1"/>
  <c r="E829" i="3"/>
  <c r="F829" i="3" s="1"/>
  <c r="G829" i="3" s="1"/>
  <c r="E830" i="3"/>
  <c r="F830" i="3" s="1"/>
  <c r="G830" i="3" s="1"/>
  <c r="E831" i="3"/>
  <c r="F831" i="3" s="1"/>
  <c r="G831" i="3" s="1"/>
  <c r="E832" i="3"/>
  <c r="F832" i="3" s="1"/>
  <c r="G832" i="3" s="1"/>
  <c r="E833" i="3"/>
  <c r="F833" i="3" s="1"/>
  <c r="G833" i="3" s="1"/>
  <c r="E834" i="3"/>
  <c r="F834" i="3" s="1"/>
  <c r="G834" i="3" s="1"/>
  <c r="E835" i="3"/>
  <c r="F835" i="3" s="1"/>
  <c r="G835" i="3" s="1"/>
  <c r="E836" i="3"/>
  <c r="F836" i="3" s="1"/>
  <c r="G836" i="3" s="1"/>
  <c r="E837" i="3"/>
  <c r="F837" i="3" s="1"/>
  <c r="G837" i="3" s="1"/>
  <c r="E838" i="3"/>
  <c r="F838" i="3" s="1"/>
  <c r="G838" i="3" s="1"/>
  <c r="E839" i="3"/>
  <c r="F839" i="3" s="1"/>
  <c r="G839" i="3" s="1"/>
  <c r="E840" i="3"/>
  <c r="F840" i="3" s="1"/>
  <c r="G840" i="3" s="1"/>
  <c r="E841" i="3"/>
  <c r="F841" i="3" s="1"/>
  <c r="G841" i="3" s="1"/>
  <c r="E842" i="3"/>
  <c r="F842" i="3" s="1"/>
  <c r="G842" i="3" s="1"/>
  <c r="E843" i="3"/>
  <c r="F843" i="3" s="1"/>
  <c r="G843" i="3" s="1"/>
  <c r="E844" i="3"/>
  <c r="F844" i="3" s="1"/>
  <c r="G844" i="3" s="1"/>
  <c r="E845" i="3"/>
  <c r="F845" i="3" s="1"/>
  <c r="G845" i="3" s="1"/>
  <c r="E846" i="3"/>
  <c r="F846" i="3" s="1"/>
  <c r="G846" i="3" s="1"/>
  <c r="E847" i="3"/>
  <c r="F847" i="3" s="1"/>
  <c r="G847" i="3" s="1"/>
  <c r="E848" i="3"/>
  <c r="F848" i="3" s="1"/>
  <c r="G848" i="3" s="1"/>
  <c r="E849" i="3"/>
  <c r="F849" i="3" s="1"/>
  <c r="G849" i="3" s="1"/>
  <c r="E850" i="3"/>
  <c r="F850" i="3" s="1"/>
  <c r="G850" i="3" s="1"/>
  <c r="E851" i="3"/>
  <c r="F851" i="3" s="1"/>
  <c r="G851" i="3" s="1"/>
  <c r="E852" i="3"/>
  <c r="F852" i="3" s="1"/>
  <c r="G852" i="3" s="1"/>
  <c r="E853" i="3"/>
  <c r="F853" i="3" s="1"/>
  <c r="G853" i="3" s="1"/>
  <c r="E854" i="3"/>
  <c r="F854" i="3" s="1"/>
  <c r="G854" i="3" s="1"/>
  <c r="E855" i="3"/>
  <c r="F855" i="3" s="1"/>
  <c r="G855" i="3" s="1"/>
  <c r="E856" i="3"/>
  <c r="F856" i="3" s="1"/>
  <c r="G856" i="3" s="1"/>
  <c r="E857" i="3"/>
  <c r="F857" i="3" s="1"/>
  <c r="G857" i="3" s="1"/>
  <c r="E858" i="3"/>
  <c r="F858" i="3" s="1"/>
  <c r="G858" i="3" s="1"/>
  <c r="E859" i="3"/>
  <c r="F859" i="3" s="1"/>
  <c r="G859" i="3" s="1"/>
  <c r="E860" i="3"/>
  <c r="F860" i="3" s="1"/>
  <c r="G860" i="3" s="1"/>
  <c r="E861" i="3"/>
  <c r="F861" i="3" s="1"/>
  <c r="G861" i="3" s="1"/>
  <c r="E862" i="3"/>
  <c r="F862" i="3" s="1"/>
  <c r="G862" i="3" s="1"/>
  <c r="E863" i="3"/>
  <c r="F863" i="3" s="1"/>
  <c r="G863" i="3" s="1"/>
  <c r="E864" i="3"/>
  <c r="F864" i="3" s="1"/>
  <c r="G864" i="3" s="1"/>
  <c r="E865" i="3"/>
  <c r="F865" i="3" s="1"/>
  <c r="G865" i="3" s="1"/>
  <c r="E866" i="3"/>
  <c r="F866" i="3" s="1"/>
  <c r="G866" i="3" s="1"/>
  <c r="E867" i="3"/>
  <c r="F867" i="3" s="1"/>
  <c r="G867" i="3" s="1"/>
  <c r="E868" i="3"/>
  <c r="F868" i="3" s="1"/>
  <c r="G868" i="3" s="1"/>
  <c r="E869" i="3"/>
  <c r="F869" i="3" s="1"/>
  <c r="G869" i="3" s="1"/>
  <c r="E870" i="3"/>
  <c r="F870" i="3" s="1"/>
  <c r="G870" i="3" s="1"/>
  <c r="E871" i="3"/>
  <c r="F871" i="3" s="1"/>
  <c r="G871" i="3" s="1"/>
  <c r="E872" i="3"/>
  <c r="F872" i="3" s="1"/>
  <c r="G872" i="3" s="1"/>
  <c r="E873" i="3"/>
  <c r="F873" i="3" s="1"/>
  <c r="G873" i="3" s="1"/>
  <c r="E874" i="3"/>
  <c r="F874" i="3" s="1"/>
  <c r="G874" i="3" s="1"/>
  <c r="E875" i="3"/>
  <c r="F875" i="3" s="1"/>
  <c r="G875" i="3" s="1"/>
  <c r="E876" i="3"/>
  <c r="F876" i="3" s="1"/>
  <c r="G876" i="3" s="1"/>
  <c r="E877" i="3"/>
  <c r="F877" i="3" s="1"/>
  <c r="G877" i="3" s="1"/>
  <c r="E878" i="3"/>
  <c r="F878" i="3" s="1"/>
  <c r="G878" i="3" s="1"/>
  <c r="E879" i="3"/>
  <c r="F879" i="3" s="1"/>
  <c r="G879" i="3" s="1"/>
  <c r="E880" i="3"/>
  <c r="F880" i="3" s="1"/>
  <c r="G880" i="3" s="1"/>
  <c r="E881" i="3"/>
  <c r="F881" i="3" s="1"/>
  <c r="G881" i="3" s="1"/>
  <c r="E882" i="3"/>
  <c r="F882" i="3" s="1"/>
  <c r="G882" i="3" s="1"/>
  <c r="E883" i="3"/>
  <c r="F883" i="3" s="1"/>
  <c r="G883" i="3" s="1"/>
  <c r="E884" i="3"/>
  <c r="F884" i="3" s="1"/>
  <c r="G884" i="3" s="1"/>
  <c r="E885" i="3"/>
  <c r="F885" i="3" s="1"/>
  <c r="G885" i="3" s="1"/>
  <c r="E886" i="3"/>
  <c r="F886" i="3" s="1"/>
  <c r="G886" i="3" s="1"/>
  <c r="E887" i="3"/>
  <c r="F887" i="3" s="1"/>
  <c r="G887" i="3" s="1"/>
  <c r="E888" i="3"/>
  <c r="F888" i="3" s="1"/>
  <c r="G888" i="3" s="1"/>
  <c r="E889" i="3"/>
  <c r="F889" i="3" s="1"/>
  <c r="G889" i="3" s="1"/>
  <c r="E890" i="3"/>
  <c r="F890" i="3" s="1"/>
  <c r="G890" i="3" s="1"/>
  <c r="E891" i="3"/>
  <c r="F891" i="3" s="1"/>
  <c r="G891" i="3" s="1"/>
  <c r="E892" i="3"/>
  <c r="F892" i="3" s="1"/>
  <c r="G892" i="3" s="1"/>
  <c r="E893" i="3"/>
  <c r="F893" i="3" s="1"/>
  <c r="G893" i="3" s="1"/>
  <c r="E894" i="3"/>
  <c r="F894" i="3" s="1"/>
  <c r="G894" i="3" s="1"/>
  <c r="E895" i="3"/>
  <c r="F895" i="3" s="1"/>
  <c r="G895" i="3" s="1"/>
  <c r="E896" i="3"/>
  <c r="F896" i="3" s="1"/>
  <c r="G896" i="3" s="1"/>
  <c r="E897" i="3"/>
  <c r="F897" i="3" s="1"/>
  <c r="G897" i="3" s="1"/>
  <c r="E898" i="3"/>
  <c r="F898" i="3" s="1"/>
  <c r="G898" i="3" s="1"/>
  <c r="E899" i="3"/>
  <c r="F899" i="3" s="1"/>
  <c r="G899" i="3" s="1"/>
  <c r="E900" i="3"/>
  <c r="F900" i="3" s="1"/>
  <c r="G900" i="3" s="1"/>
  <c r="E901" i="3"/>
  <c r="F901" i="3" s="1"/>
  <c r="G901" i="3" s="1"/>
  <c r="E902" i="3"/>
  <c r="F902" i="3" s="1"/>
  <c r="G902" i="3" s="1"/>
  <c r="E903" i="3"/>
  <c r="F903" i="3" s="1"/>
  <c r="G903" i="3" s="1"/>
  <c r="E904" i="3"/>
  <c r="F904" i="3" s="1"/>
  <c r="G904" i="3" s="1"/>
  <c r="E905" i="3"/>
  <c r="F905" i="3" s="1"/>
  <c r="G905" i="3" s="1"/>
  <c r="E906" i="3"/>
  <c r="F906" i="3" s="1"/>
  <c r="G906" i="3" s="1"/>
  <c r="E907" i="3"/>
  <c r="F907" i="3" s="1"/>
  <c r="G907" i="3" s="1"/>
  <c r="E908" i="3"/>
  <c r="F908" i="3" s="1"/>
  <c r="G908" i="3" s="1"/>
  <c r="E909" i="3"/>
  <c r="F909" i="3" s="1"/>
  <c r="G909" i="3" s="1"/>
  <c r="E910" i="3"/>
  <c r="F910" i="3" s="1"/>
  <c r="G910" i="3" s="1"/>
  <c r="E911" i="3"/>
  <c r="F911" i="3" s="1"/>
  <c r="G911" i="3" s="1"/>
  <c r="E912" i="3"/>
  <c r="F912" i="3" s="1"/>
  <c r="G912" i="3" s="1"/>
  <c r="E913" i="3"/>
  <c r="F913" i="3" s="1"/>
  <c r="G913" i="3" s="1"/>
  <c r="E914" i="3"/>
  <c r="F914" i="3" s="1"/>
  <c r="G914" i="3" s="1"/>
  <c r="E915" i="3"/>
  <c r="F915" i="3" s="1"/>
  <c r="G915" i="3" s="1"/>
  <c r="E916" i="3"/>
  <c r="F916" i="3" s="1"/>
  <c r="G916" i="3" s="1"/>
  <c r="E917" i="3"/>
  <c r="F917" i="3" s="1"/>
  <c r="G917" i="3" s="1"/>
  <c r="E918" i="3"/>
  <c r="F918" i="3" s="1"/>
  <c r="G918" i="3" s="1"/>
  <c r="E919" i="3"/>
  <c r="F919" i="3" s="1"/>
  <c r="G919" i="3" s="1"/>
  <c r="E920" i="3"/>
  <c r="F920" i="3" s="1"/>
  <c r="G920" i="3" s="1"/>
  <c r="E921" i="3"/>
  <c r="F921" i="3" s="1"/>
  <c r="G921" i="3" s="1"/>
  <c r="E922" i="3"/>
  <c r="F922" i="3" s="1"/>
  <c r="G922" i="3" s="1"/>
  <c r="E923" i="3"/>
  <c r="F923" i="3" s="1"/>
  <c r="G923" i="3" s="1"/>
  <c r="E924" i="3"/>
  <c r="F924" i="3" s="1"/>
  <c r="G924" i="3" s="1"/>
  <c r="E925" i="3"/>
  <c r="F925" i="3" s="1"/>
  <c r="G925" i="3" s="1"/>
  <c r="E926" i="3"/>
  <c r="F926" i="3" s="1"/>
  <c r="G926" i="3" s="1"/>
  <c r="E927" i="3"/>
  <c r="F927" i="3" s="1"/>
  <c r="G927" i="3" s="1"/>
  <c r="E928" i="3"/>
  <c r="F928" i="3" s="1"/>
  <c r="G928" i="3" s="1"/>
  <c r="E929" i="3"/>
  <c r="F929" i="3" s="1"/>
  <c r="G929" i="3" s="1"/>
  <c r="E930" i="3"/>
  <c r="F930" i="3" s="1"/>
  <c r="G930" i="3" s="1"/>
  <c r="E931" i="3"/>
  <c r="F931" i="3" s="1"/>
  <c r="G931" i="3" s="1"/>
  <c r="E932" i="3"/>
  <c r="F932" i="3" s="1"/>
  <c r="G932" i="3" s="1"/>
  <c r="E933" i="3"/>
  <c r="F933" i="3" s="1"/>
  <c r="G933" i="3" s="1"/>
  <c r="E934" i="3"/>
  <c r="F934" i="3" s="1"/>
  <c r="G934" i="3" s="1"/>
  <c r="E935" i="3"/>
  <c r="F935" i="3" s="1"/>
  <c r="G935" i="3" s="1"/>
  <c r="E936" i="3"/>
  <c r="F936" i="3" s="1"/>
  <c r="G936" i="3" s="1"/>
  <c r="E937" i="3"/>
  <c r="F937" i="3" s="1"/>
  <c r="G937" i="3" s="1"/>
  <c r="E938" i="3"/>
  <c r="F938" i="3" s="1"/>
  <c r="G938" i="3" s="1"/>
  <c r="E939" i="3"/>
  <c r="F939" i="3" s="1"/>
  <c r="G939" i="3" s="1"/>
  <c r="E940" i="3"/>
  <c r="F940" i="3" s="1"/>
  <c r="G940" i="3" s="1"/>
  <c r="E941" i="3"/>
  <c r="F941" i="3" s="1"/>
  <c r="G941" i="3" s="1"/>
  <c r="E942" i="3"/>
  <c r="F942" i="3" s="1"/>
  <c r="G942" i="3" s="1"/>
  <c r="E943" i="3"/>
  <c r="F943" i="3" s="1"/>
  <c r="G943" i="3" s="1"/>
  <c r="E944" i="3"/>
  <c r="F944" i="3" s="1"/>
  <c r="G944" i="3" s="1"/>
  <c r="E945" i="3"/>
  <c r="F945" i="3" s="1"/>
  <c r="G945" i="3" s="1"/>
  <c r="E946" i="3"/>
  <c r="F946" i="3" s="1"/>
  <c r="G946" i="3" s="1"/>
  <c r="E947" i="3"/>
  <c r="F947" i="3" s="1"/>
  <c r="G947" i="3" s="1"/>
  <c r="E948" i="3"/>
  <c r="F948" i="3" s="1"/>
  <c r="G948" i="3" s="1"/>
  <c r="E949" i="3"/>
  <c r="F949" i="3" s="1"/>
  <c r="G949" i="3" s="1"/>
  <c r="E950" i="3"/>
  <c r="F950" i="3" s="1"/>
  <c r="G950" i="3" s="1"/>
  <c r="E951" i="3"/>
  <c r="F951" i="3" s="1"/>
  <c r="G951" i="3" s="1"/>
  <c r="E952" i="3"/>
  <c r="F952" i="3" s="1"/>
  <c r="G952" i="3" s="1"/>
  <c r="E953" i="3"/>
  <c r="F953" i="3" s="1"/>
  <c r="G953" i="3" s="1"/>
  <c r="E3" i="3"/>
  <c r="F3" i="3" s="1"/>
  <c r="G3" i="3" s="1"/>
  <c r="E5" i="2"/>
  <c r="F5" i="2" s="1"/>
  <c r="G5" i="2" s="1"/>
  <c r="F41" i="2" l="1"/>
  <c r="G41" i="2" s="1"/>
  <c r="G13" i="2"/>
</calcChain>
</file>

<file path=xl/sharedStrings.xml><?xml version="1.0" encoding="utf-8"?>
<sst xmlns="http://schemas.openxmlformats.org/spreadsheetml/2006/main" count="1163" uniqueCount="1148">
  <si>
    <t>GESTOR</t>
  </si>
  <si>
    <t>ATIVADOS 2026</t>
  </si>
  <si>
    <t>MENSALIDADE</t>
  </si>
  <si>
    <t>TICKET MÉDIO</t>
  </si>
  <si>
    <t>PONTUAÇÃO</t>
  </si>
  <si>
    <t>PREMIAÇÃO ATUAL</t>
  </si>
  <si>
    <t>CALCULO PONTUAÇÃO</t>
  </si>
  <si>
    <t>DIEGO COSTA SANTANA</t>
  </si>
  <si>
    <t>SCORE</t>
  </si>
  <si>
    <t>PABLO ALVES DA SILVA</t>
  </si>
  <si>
    <t>ALISSON PEREIRA DA SILVA</t>
  </si>
  <si>
    <t xml:space="preserve">JADIEL DA SILVA PEREIRA MENDES </t>
  </si>
  <si>
    <t xml:space="preserve">LUCIANO MACIEL DE ALMEIDA </t>
  </si>
  <si>
    <t>FAGNER RAMON ALVES LEITE</t>
  </si>
  <si>
    <t>EDVALDO JOSE LINS BARBOSA</t>
  </si>
  <si>
    <t>ADRIANO AMORIM FERREIRA</t>
  </si>
  <si>
    <t>LUCAS RIBEIRO DOS SANTOS</t>
  </si>
  <si>
    <t xml:space="preserve">CASSIO GREGE CERQUEIRA PORTELA </t>
  </si>
  <si>
    <t>VENANCIO PINHEIRO DA SILVA</t>
  </si>
  <si>
    <t>OBJETIVO</t>
  </si>
  <si>
    <t>PRÊMIO / MARCO</t>
  </si>
  <si>
    <t xml:space="preserve">JOSADAK EVERTON DO NASCIMENTO </t>
  </si>
  <si>
    <t>Hospedagem individual</t>
  </si>
  <si>
    <t>ARTHUR WALISTON DOS SANTOS</t>
  </si>
  <si>
    <t>Hospedagem casal</t>
  </si>
  <si>
    <t xml:space="preserve">JONATHAS OLIVEIRA SANTOS </t>
  </si>
  <si>
    <t>MacBook + Kit Apple</t>
  </si>
  <si>
    <t xml:space="preserve">LUCAS SOUZA FREIRE </t>
  </si>
  <si>
    <t>XRE 190 0KM + Kit Apple</t>
  </si>
  <si>
    <t xml:space="preserve">CICERO VITOR PEREIRA DA SILVA </t>
  </si>
  <si>
    <t>Hornet 500 0KM + Kit Apple</t>
  </si>
  <si>
    <t>GEOVÁ FERREIRA QUENTINO JUNIOR</t>
  </si>
  <si>
    <t>VW Tera 1.0 0KM + Kit Apple</t>
  </si>
  <si>
    <t>MARCOS RODRIGO DOS  SANTOS PINHEIRO</t>
  </si>
  <si>
    <t>ADHRIAN DE ANDRADE ALBUQUERQUE</t>
  </si>
  <si>
    <t xml:space="preserve">JOSE MARCELO FURTADO LIMA </t>
  </si>
  <si>
    <t>JOSE EVERTON SOUZA SANTANA</t>
  </si>
  <si>
    <t xml:space="preserve">ANDREY VICTOR RIBEIRO REIS </t>
  </si>
  <si>
    <t>FELIPE GABRIEL SILVA CONCEIÇÃO</t>
  </si>
  <si>
    <t>WIDJAME RIBEIRO CALLOU</t>
  </si>
  <si>
    <t xml:space="preserve">IRANILDO OLIVEIRA DA SILVA </t>
  </si>
  <si>
    <t xml:space="preserve">JOSE WALBERTO DE LIRA BANDEIRA </t>
  </si>
  <si>
    <t>NELSIANO MARTINS DE SANTANA</t>
  </si>
  <si>
    <t>CARLOS WILLIAN GUEDES DA SILVA</t>
  </si>
  <si>
    <t>CICERO ANTONIO ALVES RESENDE</t>
  </si>
  <si>
    <t xml:space="preserve">ANDRE SOARES DA SILVA </t>
  </si>
  <si>
    <t xml:space="preserve">MICKAEL SILVA FERREIRA </t>
  </si>
  <si>
    <t>SHERLY DANTAS LOPES</t>
  </si>
  <si>
    <t xml:space="preserve">JOSE GUSTAVO GOMES </t>
  </si>
  <si>
    <t xml:space="preserve">MANOELLY VITORIA GONÇALVES DA SILVA </t>
  </si>
  <si>
    <t>DIEGO KAIQUE DE SOUZA</t>
  </si>
  <si>
    <t xml:space="preserve">GEORREMISSON DOS SANTOS SILVA </t>
  </si>
  <si>
    <t>JUDSON SANTANA PRADO</t>
  </si>
  <si>
    <t>GENISON DA SILVA CEZARIO</t>
  </si>
  <si>
    <t xml:space="preserve">JOSE DIONES FERREIRA LIMA </t>
  </si>
  <si>
    <t xml:space="preserve">ARTHUR GONÇALVES LIMA </t>
  </si>
  <si>
    <t>MATHEUS RIBEIRO DE ANDRADE</t>
  </si>
  <si>
    <t>JOCIMAR DE ALMEIDA SOUZA</t>
  </si>
  <si>
    <t>LUIS HENRIQUE DE ANDRADE SOUZA</t>
  </si>
  <si>
    <t>RANIEGO DA SILVA RAMOS</t>
  </si>
  <si>
    <t>ADILSON GOMES CARDOSO</t>
  </si>
  <si>
    <t xml:space="preserve">RANNYKELINTON DE JESUS SILVA </t>
  </si>
  <si>
    <t xml:space="preserve">GERMANO MARTINS </t>
  </si>
  <si>
    <t>CONSULTOR</t>
  </si>
  <si>
    <t>Marcos Rodrigo dos Santos Pinheiro</t>
  </si>
  <si>
    <t>Edvaldo Jose Lins Barbosa</t>
  </si>
  <si>
    <t>Alisson Pereira Da Silva</t>
  </si>
  <si>
    <t>Carlos Eduardo Silva</t>
  </si>
  <si>
    <t>Lucas Ribeiro dos Santos</t>
  </si>
  <si>
    <t>Eraldo de Almeida Santos</t>
  </si>
  <si>
    <t>Marcos André Gomes Aragão</t>
  </si>
  <si>
    <t>Cicero Vitor Pereira da Silva</t>
  </si>
  <si>
    <t>DIMAS DA PAZ DA SILVA</t>
  </si>
  <si>
    <t>Fabiana Helena Silva de Oliveira</t>
  </si>
  <si>
    <t>Vaison Da Silva Barros</t>
  </si>
  <si>
    <t>James Januario Gomes maia</t>
  </si>
  <si>
    <t>Venancio Pinheiro Da Silva</t>
  </si>
  <si>
    <t>PONTOS</t>
  </si>
  <si>
    <t>PREMIAÇÃO</t>
  </si>
  <si>
    <t>Filipe Uanderson leão pereira</t>
  </si>
  <si>
    <t>Sem premiação</t>
  </si>
  <si>
    <t>Denys Ricardo Silva Dos Santos</t>
  </si>
  <si>
    <t>Apple Watch</t>
  </si>
  <si>
    <t>DIEGO KAIQUE DE SOUZA SILVA</t>
  </si>
  <si>
    <t>iPad + Apple Watch</t>
  </si>
  <si>
    <t>Widjame Ribeiro Callou</t>
  </si>
  <si>
    <t>iPhone + iPad + Apple Watch</t>
  </si>
  <si>
    <t>Mickael Silva Ferreira</t>
  </si>
  <si>
    <t>Jose Marcelo Furtado Lima</t>
  </si>
  <si>
    <t>Leandro Ferreira De Souza</t>
  </si>
  <si>
    <t>Genison da Silva Cezario</t>
  </si>
  <si>
    <t>Gilson Rock Teles de Oliveira</t>
  </si>
  <si>
    <t>Arthur Waliston Dos Santos</t>
  </si>
  <si>
    <t>Eliel Carneiro da Silva Junior</t>
  </si>
  <si>
    <t>Natanael Fernandes Alves Santos</t>
  </si>
  <si>
    <t>Joel de Souza Pereira Junior</t>
  </si>
  <si>
    <t>Iris Caroline Santos Carvalho</t>
  </si>
  <si>
    <t>Ezimar Neo Estevam</t>
  </si>
  <si>
    <t>IRANILDO OLIVEIRA DA SILVA</t>
  </si>
  <si>
    <t>ANDRE LUAN OLIVEIRA DO NASCIMENTO</t>
  </si>
  <si>
    <t>Georrêmisson Dos Santos Dias</t>
  </si>
  <si>
    <t>JULIO CESAR DA SILVA LEITE</t>
  </si>
  <si>
    <t>LUCAS EMANUEL SOARES CAVALCANTE</t>
  </si>
  <si>
    <t>ANDRE SOARES DA SILVA</t>
  </si>
  <si>
    <t>Johnatan Andrade Batista Dos Santos</t>
  </si>
  <si>
    <t>Davi Ferreira Soares</t>
  </si>
  <si>
    <t>GABRIEL WITALO DOS SANTOS</t>
  </si>
  <si>
    <t>Caio Wanderley Fonseca Pereira</t>
  </si>
  <si>
    <t>Diego do Nascimento Santos</t>
  </si>
  <si>
    <t>MATHEUS LUCAS GONCALVES DA SILVA</t>
  </si>
  <si>
    <t>José Roberto Silva Santos</t>
  </si>
  <si>
    <t>Carlos William Guedes da Silva</t>
  </si>
  <si>
    <t>Andrey Victor Ribeiro Reis</t>
  </si>
  <si>
    <t>Sherly Dantas Lopes</t>
  </si>
  <si>
    <t>Luis Eduardo Bezerra Da Silva</t>
  </si>
  <si>
    <t>Italo Luiz Das Chagas Silva</t>
  </si>
  <si>
    <t>Luis Henrique De Andrade Sousa</t>
  </si>
  <si>
    <t>Maria Eduarda Belém da Paixão</t>
  </si>
  <si>
    <t>Josuel de Jesus Costa</t>
  </si>
  <si>
    <t>VITOR SANTOS TEIXEIRA</t>
  </si>
  <si>
    <t>Alan Santos de Souza</t>
  </si>
  <si>
    <t>ALLISON SILVA PAIXAO</t>
  </si>
  <si>
    <t>José Walberto De Lira Bandeira</t>
  </si>
  <si>
    <t>Danilo Sebastião Pereira de lima</t>
  </si>
  <si>
    <t>Ivys Fernando Machado Tavares</t>
  </si>
  <si>
    <t>YURI FERREIRA ANGELIM</t>
  </si>
  <si>
    <t>Eliel Dos Santos Silva</t>
  </si>
  <si>
    <t>Elcris Suyrran Sousa Trindade</t>
  </si>
  <si>
    <t>MATEUS RIBEIRO DE ANDRADE</t>
  </si>
  <si>
    <t>Tiago Pereira de Arruda</t>
  </si>
  <si>
    <t>DAYVISON SANTOS DE LIMA</t>
  </si>
  <si>
    <t>LUCAS SOUZA FREIRE</t>
  </si>
  <si>
    <t>Jéssica Maria Carvalho Guimarães</t>
  </si>
  <si>
    <t>JOSIVAN PEREIRA DA COSTA</t>
  </si>
  <si>
    <t>João Paulo Oliveira Lemos</t>
  </si>
  <si>
    <t>Raniego da Silva Ramos</t>
  </si>
  <si>
    <t>Mateus Dos Santos Pereira</t>
  </si>
  <si>
    <t>Antonio Cardoso de Jesus Santos</t>
  </si>
  <si>
    <t>Jean Cláudio Pereira Dias</t>
  </si>
  <si>
    <t>Demetri Akini Duarte dos Santos</t>
  </si>
  <si>
    <t>FREDSON MARCOS REGES DA CUNHA</t>
  </si>
  <si>
    <t>Alexandre Marzzo Bião Pinheiro</t>
  </si>
  <si>
    <t>Adriano Amorim Ferreira</t>
  </si>
  <si>
    <t>Moisés Carlos da Silva Filho</t>
  </si>
  <si>
    <t>SILAS VITOR CORREIA GUIMARÃES</t>
  </si>
  <si>
    <t>Edclebio Vicente Do Nascimento Silva</t>
  </si>
  <si>
    <t>Antonio Lucas Camelo Veras</t>
  </si>
  <si>
    <t>Willemberg Aquino Costa</t>
  </si>
  <si>
    <t>JOSE GUSTAVO GOMES</t>
  </si>
  <si>
    <t>PEDRO ALVES DE SOUZA</t>
  </si>
  <si>
    <t>JONATHAS OLIVEIRA SANTOS</t>
  </si>
  <si>
    <t>Marcio Dias Nogueira</t>
  </si>
  <si>
    <t>Lázaro Matheus dos Santos Callou</t>
  </si>
  <si>
    <t>KEYLA REGINA SILVA</t>
  </si>
  <si>
    <t>Brunno Henrique Oliveira De Farias</t>
  </si>
  <si>
    <t>WAGNER MARINS DOS SANTOS</t>
  </si>
  <si>
    <t>Jônatas Vinicius da Silva Santos</t>
  </si>
  <si>
    <t>Felipe Gabriel Silva Conceiçao</t>
  </si>
  <si>
    <t>Samuel Anthony Silva Oliveira</t>
  </si>
  <si>
    <t>RAFAEL REIS SANTOS</t>
  </si>
  <si>
    <t>Pablo Bispo Santos</t>
  </si>
  <si>
    <t>Sanasio Valentim de Oliveira</t>
  </si>
  <si>
    <t>Rafael Ribeiro De Sá Ferraz</t>
  </si>
  <si>
    <t>Emerson Eliezer da Silva</t>
  </si>
  <si>
    <t>Francisco Josevan Guedes Martins</t>
  </si>
  <si>
    <t>RANNYKELITON DE JESUS SILVA</t>
  </si>
  <si>
    <t>CASSIO GREGE CERQUEIRA PORTELA</t>
  </si>
  <si>
    <t>Daubart Douglas Barbosa Vieira</t>
  </si>
  <si>
    <t>Joao Vitor Dias De Almeida Souza</t>
  </si>
  <si>
    <t>Paulo Henrique de Sá Souza</t>
  </si>
  <si>
    <t>Antonio Rafael Honório Barbosa</t>
  </si>
  <si>
    <t>Acsa Souza Santos</t>
  </si>
  <si>
    <t>JOSE DIONES FERREIRA LIMA</t>
  </si>
  <si>
    <t>Gilcimar Vieira Melo</t>
  </si>
  <si>
    <t>FERNANDO SILVA NETO</t>
  </si>
  <si>
    <t>Rui Custodio Filho</t>
  </si>
  <si>
    <t>CICERO RUAN BARROS DA SILVA</t>
  </si>
  <si>
    <t>Jonatas Gomes da Silva</t>
  </si>
  <si>
    <t>Itala Naiane Araquam Dias</t>
  </si>
  <si>
    <t>Gustavo Reis Dias Miranda</t>
  </si>
  <si>
    <t>LANY SILVA PINHEIRO</t>
  </si>
  <si>
    <t>Roberta Pereira</t>
  </si>
  <si>
    <t>Felipe Soares de Lima Aragão</t>
  </si>
  <si>
    <t>MARCIO ERIK SILVA DO CARMO</t>
  </si>
  <si>
    <t>Douglas de Almeida Santos</t>
  </si>
  <si>
    <t>José Willian Vieira Gonçalves</t>
  </si>
  <si>
    <t>Lucas Farias da costa</t>
  </si>
  <si>
    <t>José Silvino da Silva</t>
  </si>
  <si>
    <t>CRISTÓVÃO DOS SANTOS ARAUJO</t>
  </si>
  <si>
    <t>Gilberto Alves Da Silva</t>
  </si>
  <si>
    <t>Reilane Pereira Andrade</t>
  </si>
  <si>
    <t>Thales Santana Ferreira</t>
  </si>
  <si>
    <t>David Richard Pereira Nogueira</t>
  </si>
  <si>
    <t>João Marcos Carvalho Souza</t>
  </si>
  <si>
    <t>Josadak Everton do Nascimento</t>
  </si>
  <si>
    <t>Jonas Felipe dos Santos</t>
  </si>
  <si>
    <t>Italo Bruno Lima Costa</t>
  </si>
  <si>
    <t>Luiz Augusto de Almeida Santos</t>
  </si>
  <si>
    <t>WESLEY ILTON DO NASCIMENTO SILVA</t>
  </si>
  <si>
    <t>JONAS BARBOSA DA SILVA</t>
  </si>
  <si>
    <t>Ana Letticya Moura Barbosa</t>
  </si>
  <si>
    <t>Brenda Ferrari Lourenço da Silva Sobrinho</t>
  </si>
  <si>
    <t>Ivanildo Nunes dos Santos</t>
  </si>
  <si>
    <t>Adilson Farias Pereira</t>
  </si>
  <si>
    <t>ANDERSON DAS NEVES SILVA</t>
  </si>
  <si>
    <t>Everton Silva do Nascimento</t>
  </si>
  <si>
    <t>Fabio Santana dos Santos</t>
  </si>
  <si>
    <t>Vitor Miguell de Santana Fonseca</t>
  </si>
  <si>
    <t>Allan Souza Campos</t>
  </si>
  <si>
    <t>João Pedro De Andrade Dias Da Silva</t>
  </si>
  <si>
    <t>Rogério magno pereira dos Santos</t>
  </si>
  <si>
    <t>Manoel Vicente dos Santos junior</t>
  </si>
  <si>
    <t>Willams Pinheiro da Silva</t>
  </si>
  <si>
    <t>Henrique De Souza Silva</t>
  </si>
  <si>
    <t>José Andre Da Silva</t>
  </si>
  <si>
    <t>Vanessa Carneiro Ferreira Gondim</t>
  </si>
  <si>
    <t>Jaelson Rodrigues de Almeida</t>
  </si>
  <si>
    <t>Milena Souza Santos do Nascimento</t>
  </si>
  <si>
    <t>Cleiton da Silva Rodrigues</t>
  </si>
  <si>
    <t>Igo Antônio Anastácio Da Silva</t>
  </si>
  <si>
    <t>Débora Pereira da Silva</t>
  </si>
  <si>
    <t>LILIANE DE OLIVEIRA SANTANA SILVA</t>
  </si>
  <si>
    <t>KAIKE DE SOUZA OLIVEIRA</t>
  </si>
  <si>
    <t>Rafael Vieira de Freitas Cardoso</t>
  </si>
  <si>
    <t>Anna Alice Silva Cardoso</t>
  </si>
  <si>
    <t>Murilo Cruz Lopes</t>
  </si>
  <si>
    <t>Daivid Souza da Silva</t>
  </si>
  <si>
    <t>ELIAS SOUZA RIBEIRO</t>
  </si>
  <si>
    <t>ANTONIO CARNEIRO DA SILVA NETO</t>
  </si>
  <si>
    <t>Roberio Santana Rebouças</t>
  </si>
  <si>
    <t>Pablo Alves da Silva</t>
  </si>
  <si>
    <t>LIDIA MARA ZACARIAS DE SOUSA</t>
  </si>
  <si>
    <t>RILWDSON ALLEX LIMA GOMES</t>
  </si>
  <si>
    <t>Gabriel Sobral peruza de Assis</t>
  </si>
  <si>
    <t>William da Silva Nascimento</t>
  </si>
  <si>
    <t>Maykon Marques Menezes</t>
  </si>
  <si>
    <t>Laryssa França Ferreira</t>
  </si>
  <si>
    <t>Michele dos santos do Nascimento</t>
  </si>
  <si>
    <t>Aderval Gomes da Silva Neto</t>
  </si>
  <si>
    <t>GIOVANNI LIRA SOUZA</t>
  </si>
  <si>
    <t>RICARDO NASCIMENTO CALDAS</t>
  </si>
  <si>
    <t>Luciano bezerra Lins Júnior</t>
  </si>
  <si>
    <t>Hermeson Barbosa de Jesus</t>
  </si>
  <si>
    <t>Luan Sérgio bezerra Lins</t>
  </si>
  <si>
    <t>Romualdo da silva carneiro</t>
  </si>
  <si>
    <t>Diego Silva Nobre</t>
  </si>
  <si>
    <t>Idney Douglas da Silva</t>
  </si>
  <si>
    <t>Candido Fernando Ribeiro dos Santos</t>
  </si>
  <si>
    <t>Jadson Ramos Fontes</t>
  </si>
  <si>
    <t>ADENILDO MARIANO DE LIRA</t>
  </si>
  <si>
    <t>Gustavo Santos Silva</t>
  </si>
  <si>
    <t>Mariana De Andrade Lima</t>
  </si>
  <si>
    <t>Gabriely Maria Candeias Mendes</t>
  </si>
  <si>
    <t>Leandro de Almeida souza</t>
  </si>
  <si>
    <t>Maria de Jesus Alves de Souza</t>
  </si>
  <si>
    <t>William Roger correia soares</t>
  </si>
  <si>
    <t>Eliezer José Lima da Silva</t>
  </si>
  <si>
    <t>Magno Roniel Alves De Almeida</t>
  </si>
  <si>
    <t>Rennah Braz Mendes</t>
  </si>
  <si>
    <t>Carlos Augusto Clementino De Sousa</t>
  </si>
  <si>
    <t>Carlos Jose Barboza</t>
  </si>
  <si>
    <t>Italo Rodrigo de Lima Almeida</t>
  </si>
  <si>
    <t>Pedro Keliton Araujo Ribeiro</t>
  </si>
  <si>
    <t>Geovana Andrade</t>
  </si>
  <si>
    <t>Alex Oliveira Da Silva</t>
  </si>
  <si>
    <t>Fabrino Novais Prates</t>
  </si>
  <si>
    <t>MATEUS SANTOS MARQUES</t>
  </si>
  <si>
    <t>Lucas Gabriel Macedo do Nascimento</t>
  </si>
  <si>
    <t>Lucas da silva lima</t>
  </si>
  <si>
    <t>Luiz Henrique De Vasconcelos</t>
  </si>
  <si>
    <t>Manoelly Vitória Gonçalves da Silva</t>
  </si>
  <si>
    <t>Jose Ricardo Junior</t>
  </si>
  <si>
    <t>Camila do Nascimento Sena</t>
  </si>
  <si>
    <t>Jerffeson Dos Santos Rodrigues</t>
  </si>
  <si>
    <t>Clilton do Vale Reis</t>
  </si>
  <si>
    <t>Geová Ferreira Quentino Júnior</t>
  </si>
  <si>
    <t>RODOLFO CABRAL DA SILVA</t>
  </si>
  <si>
    <t>Wallams Ribeiro de Almeida</t>
  </si>
  <si>
    <t>Dayane Kelly Ferreira Nazário</t>
  </si>
  <si>
    <t>ERMESON BISPO DA FRANCA</t>
  </si>
  <si>
    <t>José Everton Souza Santana</t>
  </si>
  <si>
    <t>COSME SANTOS AMORIM</t>
  </si>
  <si>
    <t>Ruy Da Costa Café Junior</t>
  </si>
  <si>
    <t>Tales Neves Farias</t>
  </si>
  <si>
    <t>Izaias Bento Moura</t>
  </si>
  <si>
    <t>Jadyson Mendes sobreira</t>
  </si>
  <si>
    <t>Fábio Souza Santos Júnior</t>
  </si>
  <si>
    <t>LUCAS LEMUEL SOBREIRA SALVIANO</t>
  </si>
  <si>
    <t>Robson Conceição Da Paixão</t>
  </si>
  <si>
    <t>Diego Gleybison Correia de Oliveira</t>
  </si>
  <si>
    <t>WELLINGTON NIRLANDO SOARES DE MELO</t>
  </si>
  <si>
    <t>Antonio Santana Junior</t>
  </si>
  <si>
    <t>Leonardo Matos Da Cruz</t>
  </si>
  <si>
    <t>JOSÉ WILIAM SENA DE ALMEIDA DAS VIRGENS</t>
  </si>
  <si>
    <t>Itala Tamires da Cruz Lopes</t>
  </si>
  <si>
    <t>Alisson Silva Ribeiro</t>
  </si>
  <si>
    <t>Joselma Fagundes Da Silva</t>
  </si>
  <si>
    <t>William Jackson Pires Vilar</t>
  </si>
  <si>
    <t>ANTONIO KELVIN VIEIRA DOS SANTOS</t>
  </si>
  <si>
    <t>Adson Johnathan Silva Santos</t>
  </si>
  <si>
    <t>Itamara Silva Melo</t>
  </si>
  <si>
    <t>JOSIBERTO DE BRITO CARVALHO</t>
  </si>
  <si>
    <t>Thaison Linic Barbosa de Miranda</t>
  </si>
  <si>
    <t>ANDERSON DA SILVA FRANÇA MARCELINO</t>
  </si>
  <si>
    <t>Willian Henrique Barbosa de Souza</t>
  </si>
  <si>
    <t>Rafael dos Santos Rodrigues Soares</t>
  </si>
  <si>
    <t>Caislan Rodrigues Ferreira</t>
  </si>
  <si>
    <t>Wanderson Tibúrcio Gomes da Silva</t>
  </si>
  <si>
    <t>Arielle Borges Dias</t>
  </si>
  <si>
    <t>Gustavo Silva Souza</t>
  </si>
  <si>
    <t>Celso Pereira Ribeiro Junior</t>
  </si>
  <si>
    <t>JADIEL DA SILVA PEREIRA MENDES</t>
  </si>
  <si>
    <t>Victor Matheus De Paula Dias Da Silva</t>
  </si>
  <si>
    <t>Luis Carlos Vilas Boas De Castro Dantas</t>
  </si>
  <si>
    <t>GUILHERME VINICIUS SANTOS DO NASCIMENTO</t>
  </si>
  <si>
    <t>AMANDA DE SOUZA MENEZES</t>
  </si>
  <si>
    <t>Gisllaynne Vitória Vasconcelos Ventura</t>
  </si>
  <si>
    <t>Tiago Alves Costa</t>
  </si>
  <si>
    <t>Almir Da Silva Santos</t>
  </si>
  <si>
    <t>REINALDO ROMEU SALGADO</t>
  </si>
  <si>
    <t>José Lucas Da Silva Ferreira</t>
  </si>
  <si>
    <t>Robert Alexandre Araújo silva</t>
  </si>
  <si>
    <t>BARBARA PIRES DE ALMEIDA</t>
  </si>
  <si>
    <t>Diogenes Leal Marcula</t>
  </si>
  <si>
    <t>Carlos Daniel Oliveira Nascimento</t>
  </si>
  <si>
    <t>LEONARDO CARNEIRO DA CUNHA</t>
  </si>
  <si>
    <t>JOSENILDO DIAS DA CRUZ</t>
  </si>
  <si>
    <t>Wandemberg Silva Felix</t>
  </si>
  <si>
    <t>Cícero Clayton Silva Souza</t>
  </si>
  <si>
    <t>Abner Carlos Barros Da Silva</t>
  </si>
  <si>
    <t>Rodrigo Silva Dos Santos</t>
  </si>
  <si>
    <t>Victor Lucas Silva De Souza</t>
  </si>
  <si>
    <t>José Albiran dos Santos</t>
  </si>
  <si>
    <t>Jeudes Ferreira da Cruz Souza</t>
  </si>
  <si>
    <t>CLEITON CAMILO DOS SANTOS PEREIRA</t>
  </si>
  <si>
    <t>José Narcelio Da Silva Moreira</t>
  </si>
  <si>
    <t>Edielton Souza Machado</t>
  </si>
  <si>
    <t>DIEGO DA SILVA RODRIGUES</t>
  </si>
  <si>
    <t>Jose De Souza Martins</t>
  </si>
  <si>
    <t>Tallis Guttemberg Guimarães Batista</t>
  </si>
  <si>
    <t>JHONATA DA SILVA NASCIMENTO</t>
  </si>
  <si>
    <t>Mardson Sampaio de Melo Leal</t>
  </si>
  <si>
    <t>GEORGE LOPES FILHO</t>
  </si>
  <si>
    <t>Jefferson Tolentino De Britto</t>
  </si>
  <si>
    <t>Alan Nascimento Santos</t>
  </si>
  <si>
    <t>Clara Letícia Souza Gonçalves de Almeida</t>
  </si>
  <si>
    <t>Edivaldo manoel de Souza</t>
  </si>
  <si>
    <t>Valéria Dayana Da Silva Aguiar</t>
  </si>
  <si>
    <t>MICHAEL DE AMORIM SANTOS</t>
  </si>
  <si>
    <t>Tadeu Wictor Torres freitas</t>
  </si>
  <si>
    <t>ANDERSON DA SILVA PEREIRA</t>
  </si>
  <si>
    <t>Karlos Isaac Carneiro Ribeiro</t>
  </si>
  <si>
    <t>Rodolfo Ferreira Dos Santos</t>
  </si>
  <si>
    <t>DANILO BOAVENTURA DA SILVA</t>
  </si>
  <si>
    <t>Douglas Elias Ramos</t>
  </si>
  <si>
    <t>Letícia Leite Carvalho</t>
  </si>
  <si>
    <t>Jose Edson Gomes Do Nascimento</t>
  </si>
  <si>
    <t>Davi Yuri da Silva Lima</t>
  </si>
  <si>
    <t>Jose Ermisson Rodrigues Farias</t>
  </si>
  <si>
    <t>Wanderson Bruno Cordeiro Trajano</t>
  </si>
  <si>
    <t>Klewyson Duarte mitomari</t>
  </si>
  <si>
    <t>Brenda Narla Nunes Campos</t>
  </si>
  <si>
    <t>Pedro Henrique Feitosa Silva</t>
  </si>
  <si>
    <t>THADEU EDUARDO MONTEIRO LIBARINO</t>
  </si>
  <si>
    <t>Josenildo de Jesus Brito</t>
  </si>
  <si>
    <t>EDIESIO DA SILVA RIBEIRO</t>
  </si>
  <si>
    <t>Fagner Pereira dos Santos Cordeiro</t>
  </si>
  <si>
    <t>Gidrene Kisnamur De Andrade</t>
  </si>
  <si>
    <t>Leonardo da Silva Ferreira Rodrigues</t>
  </si>
  <si>
    <t>Luciano Felix da Silva</t>
  </si>
  <si>
    <t>Hanna Lorena Pereira De Souza</t>
  </si>
  <si>
    <t>Vanessa Nathale Monteiro Tavares</t>
  </si>
  <si>
    <t>Willian dos Santos Santos</t>
  </si>
  <si>
    <t>Gleydson Wallace Campos Ferreira</t>
  </si>
  <si>
    <t>Diego Costa de Santana</t>
  </si>
  <si>
    <t>Luiz Felipe da Silva Matos</t>
  </si>
  <si>
    <t>Francisco Ferreira Silva</t>
  </si>
  <si>
    <t>TIAGO CESAR FERREIRA</t>
  </si>
  <si>
    <t>João Vitor Santos pacheco</t>
  </si>
  <si>
    <t>Thiago Santiago Pereira Almeida</t>
  </si>
  <si>
    <t>Hilton Arruda Do Nascimento</t>
  </si>
  <si>
    <t>Renan Gabriel Silva de Brito</t>
  </si>
  <si>
    <t>Gabriel dias do nascimento</t>
  </si>
  <si>
    <t>Alana Samara Lima da silva</t>
  </si>
  <si>
    <t>Marlucia de Carvalho Araujo</t>
  </si>
  <si>
    <t>Anderson Souza e Silva</t>
  </si>
  <si>
    <t>Amilson Gaspar Bezerra</t>
  </si>
  <si>
    <t>Aron Bryan Alves da Silva</t>
  </si>
  <si>
    <t>RAFAEL BARRETO DA SILVA</t>
  </si>
  <si>
    <t>RAMON MIRANDA DOS SANTOS SANTANA</t>
  </si>
  <si>
    <t>Gabriel Manoel morais da Silva</t>
  </si>
  <si>
    <t>Luis Felipe De Souza Santos</t>
  </si>
  <si>
    <t>LUCAS LEONARDO BATISTA DE FREITAS</t>
  </si>
  <si>
    <t>Flademir dias da Silva</t>
  </si>
  <si>
    <t>Ismael da Silva Simas</t>
  </si>
  <si>
    <t>Kaysa Gonçalves</t>
  </si>
  <si>
    <t>Fabrina Guedes Dos Santos</t>
  </si>
  <si>
    <t>Gustavo henrique Gomes De Souza</t>
  </si>
  <si>
    <t>Airton César dos Santos Silva</t>
  </si>
  <si>
    <t>Larissa Oliveira Barbosa</t>
  </si>
  <si>
    <t>Vanweydson Silva de Lima</t>
  </si>
  <si>
    <t>Estrones Lopes Amorim</t>
  </si>
  <si>
    <t>EVALDO BRITO DE LIMA</t>
  </si>
  <si>
    <t>GENILSON CARLOS DE SOUZA MACHADO</t>
  </si>
  <si>
    <t>Winicius Jose Da Silva Mendes</t>
  </si>
  <si>
    <t>Daniel Ezequiel Santos melo</t>
  </si>
  <si>
    <t>RONIERI RIBEIRO PASSOS</t>
  </si>
  <si>
    <t>Severino jose Da Silva Neto</t>
  </si>
  <si>
    <t>Iranildo Irineu dos Santos</t>
  </si>
  <si>
    <t>Carlos Eduardo Dos Santos Silva</t>
  </si>
  <si>
    <t>Eraldo do Carmo Junior</t>
  </si>
  <si>
    <t>jessica jacome de lima</t>
  </si>
  <si>
    <t>Ricardo Santos Resende</t>
  </si>
  <si>
    <t>Arthur Gonçalves Lima</t>
  </si>
  <si>
    <t>MARIA GIRLENE DE SOUSA SILVA</t>
  </si>
  <si>
    <t>Pedro Henrique Alves De Moura</t>
  </si>
  <si>
    <t>Auto centro do Vale</t>
  </si>
  <si>
    <t>Aníbal ramos da silva</t>
  </si>
  <si>
    <t>Laudisvan Flávio Morais Goes</t>
  </si>
  <si>
    <t>Jailson Nobre Silva</t>
  </si>
  <si>
    <t>Angelo Antonio Dos Santos Rodrigues</t>
  </si>
  <si>
    <t>Abimael Ramos Marques</t>
  </si>
  <si>
    <t>ROMILSON GONCALVES DA SILVA GOMES</t>
  </si>
  <si>
    <t>Edclebson Inacio</t>
  </si>
  <si>
    <t>Antonio Evailson Catinin</t>
  </si>
  <si>
    <t>Victor Guilherme Bastos Ramos De Sousa</t>
  </si>
  <si>
    <t>Francisca Gilvania de Souza Freitas</t>
  </si>
  <si>
    <t>Manoel José de Sá Neto</t>
  </si>
  <si>
    <t>Alisangela Oliva Pereira</t>
  </si>
  <si>
    <t>Evaldo Kunze Hergert</t>
  </si>
  <si>
    <t>GABRIEL ALVES DOS SANTOS</t>
  </si>
  <si>
    <t>Deyvidy Lucas De Oliveira Aguiar</t>
  </si>
  <si>
    <t>Ana Paula Mendes da Silva</t>
  </si>
  <si>
    <t>Fabio Roberto Andrade dias</t>
  </si>
  <si>
    <t>Vitória Isabel Souza Vieira</t>
  </si>
  <si>
    <t>Isis Ribeiro de Souza</t>
  </si>
  <si>
    <t>JOSÉ RAIMUNDO DOS SANTOS</t>
  </si>
  <si>
    <t>JORGE ALVES SANTOS</t>
  </si>
  <si>
    <t>Geovane Pedreira Fernandes</t>
  </si>
  <si>
    <t>JhonErmeson Roberio da silva souza</t>
  </si>
  <si>
    <t>IAN VINICIUS SILVA DAMACENO</t>
  </si>
  <si>
    <t>TAMILLYS SOUZA DOS SANTOS</t>
  </si>
  <si>
    <t>Jhonata Bezerra Santos</t>
  </si>
  <si>
    <t>Cleiton Alves</t>
  </si>
  <si>
    <t>FABIO OLIVEIRA SOARES</t>
  </si>
  <si>
    <t>Ueslei Ramos da Silva</t>
  </si>
  <si>
    <t>Bruno Gomes</t>
  </si>
  <si>
    <t>Yuri Matheus Castro Nascimento</t>
  </si>
  <si>
    <t>Nicolas Tomas Leite Lima Silva</t>
  </si>
  <si>
    <t>Cicero Manoel De Souza</t>
  </si>
  <si>
    <t>Deyverson Silva Andrade</t>
  </si>
  <si>
    <t>Adilson Dayvson Vieira da Silva</t>
  </si>
  <si>
    <t>Wallesson Gustavo Viana dos Santos</t>
  </si>
  <si>
    <t>Beatriz Helena Silva de Oliveira</t>
  </si>
  <si>
    <t>Erik Dourado</t>
  </si>
  <si>
    <t>Elivelton Walison Monteiro do Nascimento</t>
  </si>
  <si>
    <t>João Paulo Oliveira Passos dos Santos</t>
  </si>
  <si>
    <t>Cassiamo Alves do Nascimento</t>
  </si>
  <si>
    <t>Jadson Alves De Oliveira</t>
  </si>
  <si>
    <t>João Vitor Cardoso dos santos</t>
  </si>
  <si>
    <t>Sidcley Assis de Lisboa</t>
  </si>
  <si>
    <t>JOSE DAVID BURITY RIBEIRO</t>
  </si>
  <si>
    <t>Jeferson Simas Lima</t>
  </si>
  <si>
    <t>CEZAR LUIZ DE SOUZA MIGUEL</t>
  </si>
  <si>
    <t>Eliaquim Almeida dos Santos</t>
  </si>
  <si>
    <t>Fernando pereira Lima</t>
  </si>
  <si>
    <t>Savio Lucas Muniz Neres</t>
  </si>
  <si>
    <t>Osmar Santos Francelino</t>
  </si>
  <si>
    <t>Ricardson Araújo da Silva</t>
  </si>
  <si>
    <t>Bruno Maycon Ferreira Nunes</t>
  </si>
  <si>
    <t>kaue rick da silva santos</t>
  </si>
  <si>
    <t>PHELIPE OLIVEIRA MOURA</t>
  </si>
  <si>
    <t>JOSIVALDO BARBOSA DA SILVA</t>
  </si>
  <si>
    <t>Egnaldo ribeiro da Silva</t>
  </si>
  <si>
    <t>Lucas Severino Mauricio De Oliveira</t>
  </si>
  <si>
    <t>Anderson De Andrade</t>
  </si>
  <si>
    <t>João Rodrigues Junior</t>
  </si>
  <si>
    <t>Samuel Antonio da Rocha</t>
  </si>
  <si>
    <t>Nadab Souza Silva</t>
  </si>
  <si>
    <t>CELIO BARBOSA DA SILVA</t>
  </si>
  <si>
    <t>Lucas Barbosa da Silva</t>
  </si>
  <si>
    <t>ERIVANO ALVES DE SOUZA</t>
  </si>
  <si>
    <t>Matheus Leandro Silva</t>
  </si>
  <si>
    <t>Gilvan Santos</t>
  </si>
  <si>
    <t>Samara de Souza David</t>
  </si>
  <si>
    <t>Andrei dos Santos Silva</t>
  </si>
  <si>
    <t>Jaqueline Gomes dos santos</t>
  </si>
  <si>
    <t>Yasmim Freitas da Silva</t>
  </si>
  <si>
    <t>MARINALVO ALVES DA FONSECA</t>
  </si>
  <si>
    <t>Francisco Ivonildo dos Santos</t>
  </si>
  <si>
    <t>Ellis Iara Da Silva Oliveira</t>
  </si>
  <si>
    <t>LUCAS GABRIEL DOS SANTOS GOMES</t>
  </si>
  <si>
    <t>Heron De Lima Pacheco</t>
  </si>
  <si>
    <t>Edijames dos Santos Nunes</t>
  </si>
  <si>
    <t>CLEBER SOUZA SILVA</t>
  </si>
  <si>
    <t>Kleverton Barbosa Bezerra</t>
  </si>
  <si>
    <t>JOSE ROBERTO PEREIRA DA SILVA</t>
  </si>
  <si>
    <t>Emerson Santos de Oliveira</t>
  </si>
  <si>
    <t>Rafael Alves da Silva</t>
  </si>
  <si>
    <t>Eduardo Carvalho Santos</t>
  </si>
  <si>
    <t>Maurílio Rodrigues do Nascimento</t>
  </si>
  <si>
    <t>Atlas Cauã da Silva Góis</t>
  </si>
  <si>
    <t>Ewerton Luis Furtado Da Silva</t>
  </si>
  <si>
    <t>Carmozita Maria de Aquino</t>
  </si>
  <si>
    <t>Adriana Menezes Suruagy</t>
  </si>
  <si>
    <t>Bruno Diego Santos Silva</t>
  </si>
  <si>
    <t>Eric Alencar Vasconcelos</t>
  </si>
  <si>
    <t>Dejivan Freitas De Jesus Luz</t>
  </si>
  <si>
    <t>Nycolas de Barros Duarte Ferreira</t>
  </si>
  <si>
    <t>JOÃO RODRIGO CUNHA DA SILVA</t>
  </si>
  <si>
    <t>Victor Romério Nunes Sousa</t>
  </si>
  <si>
    <t>João Augusto Barros dos Santos</t>
  </si>
  <si>
    <t>RAISSA ALESSANDRA DA SILVA FRANCISCO</t>
  </si>
  <si>
    <t>Alexsandro dos Santos da Silva</t>
  </si>
  <si>
    <t>Adjanilton Silva de Jesus</t>
  </si>
  <si>
    <t>José Carlos Batista Menezes</t>
  </si>
  <si>
    <t>AGUINALDO LOURENCO REIS JUNIOR</t>
  </si>
  <si>
    <t>Leonardo Felipe Pereira Lima</t>
  </si>
  <si>
    <t>MOISES SILVA DE PAIVA NUNES</t>
  </si>
  <si>
    <t>Vandick de Jesus Rocha Júnior</t>
  </si>
  <si>
    <t>Bruno Cesar Souza e silva</t>
  </si>
  <si>
    <t>Maicon Fernando dos Santos Brito</t>
  </si>
  <si>
    <t>Adilino Da Silva Rodrigues</t>
  </si>
  <si>
    <t>Mônica Maria do Nascimento Albuquerque Mendes</t>
  </si>
  <si>
    <t>Marcelo Texeira Da Silva Junior</t>
  </si>
  <si>
    <t>TIAGO COSTA SANTANA</t>
  </si>
  <si>
    <t>Tiago Delmondes da Silva</t>
  </si>
  <si>
    <t>RAMON BARBALHO DOS SANTOS</t>
  </si>
  <si>
    <t>RENATO LOPES BORGES</t>
  </si>
  <si>
    <t>Eduarda Oliveira Da Silva</t>
  </si>
  <si>
    <t>Luiz Carlos Andrade Dantas</t>
  </si>
  <si>
    <t>Wellington Pereira Da Silva</t>
  </si>
  <si>
    <t>Pablo Batista Santana da Silva</t>
  </si>
  <si>
    <t>Germano Leite Da Silva</t>
  </si>
  <si>
    <t>Jadson Dos Santos Fernandes</t>
  </si>
  <si>
    <t>Caique Emanuel Nascimento Lima</t>
  </si>
  <si>
    <t>Eduardo dos Santos Silva</t>
  </si>
  <si>
    <t>Carlos Eduardo Leite Rosa</t>
  </si>
  <si>
    <t>Kaylane Do Nascimento</t>
  </si>
  <si>
    <t>Lucas Ivo Da Silva</t>
  </si>
  <si>
    <t>Leonário Santos</t>
  </si>
  <si>
    <t>Kaick  De Sousa Brito</t>
  </si>
  <si>
    <t>Iago santos das neves</t>
  </si>
  <si>
    <t>PEDRO PHELIPE MARTINS DOS SANTOS</t>
  </si>
  <si>
    <t>Igor Rayan Claudino Da Silva</t>
  </si>
  <si>
    <t>Felipe Gonçalves Araujo dos Anjos</t>
  </si>
  <si>
    <t>LUCAS COSTAS DA SILVA</t>
  </si>
  <si>
    <t>LUCINEIDE SOUSA DOS SANTOS</t>
  </si>
  <si>
    <t>Arley Felipe Leal de Souza Oliveira</t>
  </si>
  <si>
    <t>João Victor Santana da Cruz</t>
  </si>
  <si>
    <t>José Carlos De Freitas</t>
  </si>
  <si>
    <t>Elisson Rodrigues da Silva</t>
  </si>
  <si>
    <t>Fabrício Oliveira Cardoso</t>
  </si>
  <si>
    <t>Romilson Wladson Gonçalves De Sá</t>
  </si>
  <si>
    <t>CICERA MARCIA VITAL LEITE</t>
  </si>
  <si>
    <t>Ewerton Matheus Pereira do Nascimento</t>
  </si>
  <si>
    <t>Webert Barbosa de Souza</t>
  </si>
  <si>
    <t>FABIO GIOVANNI DA SILVA SANTOS</t>
  </si>
  <si>
    <t>Gabriel Nascimento Dos Santos</t>
  </si>
  <si>
    <t>CARLOS CEZAR VICENTE DE SOUZA MENDES</t>
  </si>
  <si>
    <t>Tiago Silva Rodrigues</t>
  </si>
  <si>
    <t>Marília Gabriela rocha de lima e silva</t>
  </si>
  <si>
    <t>Vitor Emanuel de Barros Silva</t>
  </si>
  <si>
    <t>Maria Luana De Oliveira</t>
  </si>
  <si>
    <t>Joao Victor Bastos Carneiro</t>
  </si>
  <si>
    <t>Kelvia Cristyanne Vieira Lima</t>
  </si>
  <si>
    <t>Cid de Souza Junior</t>
  </si>
  <si>
    <t>ANDERSON ARALDO PINHO RIBEIRO</t>
  </si>
  <si>
    <t>Arthur Vinícius de Araújo Sampaio</t>
  </si>
  <si>
    <t>Jecifran Barbosa Maciel</t>
  </si>
  <si>
    <t>Jonatan Gomes da Silva</t>
  </si>
  <si>
    <t>Raphael avelino santos lima</t>
  </si>
  <si>
    <t>EDUARDO DE JESUS SOUSA</t>
  </si>
  <si>
    <t>Marivaldo dos Santos</t>
  </si>
  <si>
    <t>Jonatas Rodrigues Da Silva Cavalcante</t>
  </si>
  <si>
    <t>Ryan Victor Amorim Souza</t>
  </si>
  <si>
    <t>Eduardo Jorge Pereira Torres</t>
  </si>
  <si>
    <t>Cicero Andrade da Silva</t>
  </si>
  <si>
    <t>Luis Eduardo Castro Junior</t>
  </si>
  <si>
    <t>Alexandre Souza de Freitas</t>
  </si>
  <si>
    <t>Jadson Wilians Da Silva Lima</t>
  </si>
  <si>
    <t>GENILDO JOSÉ LEITE DE SOUZA</t>
  </si>
  <si>
    <t>Antônio Carlos Pereira Lima Filho</t>
  </si>
  <si>
    <t>VITOR HUGO VIANA VITAL</t>
  </si>
  <si>
    <t>WALTER SILVA SERRA NETO</t>
  </si>
  <si>
    <t>Osvaldo Coelho dos Santos</t>
  </si>
  <si>
    <t>João Victor De Oliveira E Oliveira</t>
  </si>
  <si>
    <t>Pedro Lucas Alcântara Silva</t>
  </si>
  <si>
    <t>Felipe Augusto Lins Arcoverde</t>
  </si>
  <si>
    <t>Edmilton Rozendo dos santos</t>
  </si>
  <si>
    <t>José Wesley Menezes da Silva</t>
  </si>
  <si>
    <t>DEMESSON OLIVEIRA DA CONCEICAO</t>
  </si>
  <si>
    <t>Matheus Germano de Melo Farias</t>
  </si>
  <si>
    <t>IRANILDO DOS SANTOS BATISTA</t>
  </si>
  <si>
    <t>Luciano Jose De Oliveira Bitencourt</t>
  </si>
  <si>
    <t>Rahiza Christina Ribeiro Penha</t>
  </si>
  <si>
    <t>Maria Fernanda Figueiredo dos Santos</t>
  </si>
  <si>
    <t>ANTONIO COSME DE ARAUJO SOUZA</t>
  </si>
  <si>
    <t>Davi Kevin Rodrigues Capistana</t>
  </si>
  <si>
    <t>Welverton Ferreira de Sousa</t>
  </si>
  <si>
    <t>David Anderson De Andrade Araujo</t>
  </si>
  <si>
    <t>Lindomar dos Santos Silva</t>
  </si>
  <si>
    <t>CASSIO ALMEIDA DE SOUZA</t>
  </si>
  <si>
    <t>ROGIS VITOR DOS SANTOS</t>
  </si>
  <si>
    <t>Alisson Oliveira Da Silva</t>
  </si>
  <si>
    <t>Irving França</t>
  </si>
  <si>
    <t>Lailson Pereira da Silva</t>
  </si>
  <si>
    <t>JOSE HILTON PEREIRA SILVA</t>
  </si>
  <si>
    <t>Vinicius maycon Alves dos Santos</t>
  </si>
  <si>
    <t>Cicera De Freitas Santos</t>
  </si>
  <si>
    <t>Alex Pablo Soares Brochardt</t>
  </si>
  <si>
    <t>MERCURY JEYMESSON DOS SANTOS ARAUJO</t>
  </si>
  <si>
    <t>Louis Gabriel Araújo Sobreira de Freitas Costa</t>
  </si>
  <si>
    <t>Tainara Janiele Rodrigues</t>
  </si>
  <si>
    <t>Luis Claudio De Oliveira Souza</t>
  </si>
  <si>
    <t>Rebeca Paraiso Monteiro Leandro</t>
  </si>
  <si>
    <t>Perla Michelle Alves da Silva</t>
  </si>
  <si>
    <t>JOELSON GOMES DE LIMA</t>
  </si>
  <si>
    <t>DAVID BRENDO SOUZA CARVALHO</t>
  </si>
  <si>
    <t>Girlaine Pimentel Duarte do Nascimento</t>
  </si>
  <si>
    <t>Diego Xavier da Silva</t>
  </si>
  <si>
    <t>Wellington Manoel da Silva</t>
  </si>
  <si>
    <t>Weversson Felix farias</t>
  </si>
  <si>
    <t>Israel Higino Borges Neto</t>
  </si>
  <si>
    <t>Carla Helen Da Silva Santos Pereira</t>
  </si>
  <si>
    <t>MATHEUS LUCAS FELIX DOS SANTOS</t>
  </si>
  <si>
    <t>Emanuel Sampaio Vieira Ferreira</t>
  </si>
  <si>
    <t>Bruna Santana De Sá Barreto</t>
  </si>
  <si>
    <t>Amanda Silva de oliveira</t>
  </si>
  <si>
    <t>ALEX JUNIO DA SILVA CUNHA</t>
  </si>
  <si>
    <t>Icaro wallacy Fernandes da Silva Costa</t>
  </si>
  <si>
    <t>LUCAS EFRAIN SOUSA SILVA</t>
  </si>
  <si>
    <t>Jose Santana De Souza</t>
  </si>
  <si>
    <t>Matheus Amorim Cardoso</t>
  </si>
  <si>
    <t>Anaide Nascimento Da Silva</t>
  </si>
  <si>
    <t>Afranio dos Santos Coelho</t>
  </si>
  <si>
    <t>Josemar Gomes Do Nascimento</t>
  </si>
  <si>
    <t>Marcos Antônio De Freitas Ferreira</t>
  </si>
  <si>
    <t>Lucas De Arruda Silva</t>
  </si>
  <si>
    <t>FAGNER SANTOS COELHO</t>
  </si>
  <si>
    <t>JORGE LUIZ VIEIRA BARROS</t>
  </si>
  <si>
    <t>Marcos Aurélio da Silva Santos</t>
  </si>
  <si>
    <t>Francivaldo Francisco de Lima</t>
  </si>
  <si>
    <t>Mateus Ferreira De Sales</t>
  </si>
  <si>
    <t>ANGEL FERREIRA DA SILVA</t>
  </si>
  <si>
    <t>Lucas Diniz Dos Santos</t>
  </si>
  <si>
    <t>Roberlan Silva De Jesus</t>
  </si>
  <si>
    <t>Heriko Railson De Freitas Tavares</t>
  </si>
  <si>
    <t>Eduarda Pereira França</t>
  </si>
  <si>
    <t>Alexandre Santos</t>
  </si>
  <si>
    <t>Paulo Cesar Ferreira da Silva</t>
  </si>
  <si>
    <t>Francisco Barbosa Estêvão</t>
  </si>
  <si>
    <t>Tamires Maria do Nascimento Barbosa</t>
  </si>
  <si>
    <t>Damião Pereira Da Silva</t>
  </si>
  <si>
    <t>Telson Valverde Da Silva</t>
  </si>
  <si>
    <t>Douglas Henrique Silva Do Nascimento</t>
  </si>
  <si>
    <t>Marcos Moabe Gonçalves Da Silva</t>
  </si>
  <si>
    <t>Irenilson Dos Santos</t>
  </si>
  <si>
    <t>Wallace Silva Vale de Souza</t>
  </si>
  <si>
    <t>Yasmin Alcântara Alves</t>
  </si>
  <si>
    <t>Ulisses Carlos Barbosa Neto</t>
  </si>
  <si>
    <t>Wellington Pereira Azevedo</t>
  </si>
  <si>
    <t>Marcone Gonzaga Costa</t>
  </si>
  <si>
    <t>Samara Nicolau Feitosa</t>
  </si>
  <si>
    <t>Jessica Kelly Pereira da Costa</t>
  </si>
  <si>
    <t>JOYLISON SILVA DE MELO</t>
  </si>
  <si>
    <t>Isaac Santos souza da silva</t>
  </si>
  <si>
    <t>Jennifer kaline da Silva trindade</t>
  </si>
  <si>
    <t>ALESSANDRO SIMOES MENEZES</t>
  </si>
  <si>
    <t>Cecilio Amaro Da Silva Junior</t>
  </si>
  <si>
    <t>Wescley Alves de Jesus</t>
  </si>
  <si>
    <t>CLAUDIANO DE JESUS SANTOS</t>
  </si>
  <si>
    <t>Thiago Cesar Ferreira Dias</t>
  </si>
  <si>
    <t>pedro Afonso do nascimento Gonçalves</t>
  </si>
  <si>
    <t>MARCIO ANDRE SANTOS AMORIM JUNIOR</t>
  </si>
  <si>
    <t>Janderson Paulo Da Silva</t>
  </si>
  <si>
    <t>Jeozadan De Oliveira Freitas</t>
  </si>
  <si>
    <t>Vanderson Silva Nunes</t>
  </si>
  <si>
    <t>Nailsom Valdeni do Nascimento</t>
  </si>
  <si>
    <t>Eliane Da Silva Oliveira</t>
  </si>
  <si>
    <t>FABIO NUNES PEREIRA</t>
  </si>
  <si>
    <t>Josefa Gabriela da Silva</t>
  </si>
  <si>
    <t>Luiz Henrique Aleixo Dos Santos Carvalho</t>
  </si>
  <si>
    <t>Raimundo Marcelo Carneiro Freitas</t>
  </si>
  <si>
    <t>Joaquim Cysnne Moreno Ferreira Dantas</t>
  </si>
  <si>
    <t>Maria Luiza Ribeiro Vieira</t>
  </si>
  <si>
    <t>Rafael Freitas Do Carmo</t>
  </si>
  <si>
    <t>Ana Luísa Santos da Silva</t>
  </si>
  <si>
    <t>Leide Torres Torres</t>
  </si>
  <si>
    <t>Germano de Souza Martins</t>
  </si>
  <si>
    <t>William Barbosa Do Nascimento</t>
  </si>
  <si>
    <t>Dairan Souza Olegario</t>
  </si>
  <si>
    <t>Genisio Francisco da Silva</t>
  </si>
  <si>
    <t>Yasly Azevedo da Silva</t>
  </si>
  <si>
    <t>Davyd Xavier Monteiro</t>
  </si>
  <si>
    <t>PEDRO VITOR SANTOS DE SOUZA</t>
  </si>
  <si>
    <t>Thiago Vinicius</t>
  </si>
  <si>
    <t>Jose Cleiton Da Silva</t>
  </si>
  <si>
    <t>Rafael Oliveira Tavares</t>
  </si>
  <si>
    <t>Marcos Antônio de Farias</t>
  </si>
  <si>
    <t>Jonathan Soledade Almeida Souza</t>
  </si>
  <si>
    <t>Wesley Gomes De Oliveira</t>
  </si>
  <si>
    <t>Anailton De Oliveira Silva</t>
  </si>
  <si>
    <t>FRANCINALDO PEREIRA SANTOS</t>
  </si>
  <si>
    <t>Jordi Jakin Santos Assad</t>
  </si>
  <si>
    <t>José Carlos de França</t>
  </si>
  <si>
    <t>Abimael Brito Da Silva</t>
  </si>
  <si>
    <t>Emersson Francisco da Silva</t>
  </si>
  <si>
    <t>Antônia Larissa Silva Santos</t>
  </si>
  <si>
    <t>Rodrigo Rodrigo</t>
  </si>
  <si>
    <t>Andre Antonio dos Santos</t>
  </si>
  <si>
    <t>ESDRAS CAÍQUE BRITO DOS SANTOS</t>
  </si>
  <si>
    <t>ROGERIO NAZARIO DE OLIVEIRA</t>
  </si>
  <si>
    <t>Viviane Alves Ribeiro</t>
  </si>
  <si>
    <t>David Kauã Cerqueira Alcantara</t>
  </si>
  <si>
    <t>JOSE DE SOUSA SILVA</t>
  </si>
  <si>
    <t>John Everson Farias Varela</t>
  </si>
  <si>
    <t>JAMICHEL DE SOUZA SILVA</t>
  </si>
  <si>
    <t>Murilo Cerqueira da Cruz</t>
  </si>
  <si>
    <t>ITAMAR SOUZA ALVES DA SILVA</t>
  </si>
  <si>
    <t>Vinicius Martins de Oliveira</t>
  </si>
  <si>
    <t>Francisco Aníbal Pereira da Silva</t>
  </si>
  <si>
    <t>Gilberto Da Silva Santos</t>
  </si>
  <si>
    <t>Mariano Andrade dias filho</t>
  </si>
  <si>
    <t>Alisson Renan De Sousa Silva</t>
  </si>
  <si>
    <t>Robson Dutra Leite</t>
  </si>
  <si>
    <t>Alyson Anthony Rodrigues de Souza</t>
  </si>
  <si>
    <t>Andrea das virgens Silva Oliveira</t>
  </si>
  <si>
    <t>Eric Murilo de Souza Andrade Santos</t>
  </si>
  <si>
    <t>Julio Cesar</t>
  </si>
  <si>
    <t>Riandrea Oliveira</t>
  </si>
  <si>
    <t>Edilson José Miranda de Matos Junior</t>
  </si>
  <si>
    <t>Alcides de Alencar Sampaio Neto</t>
  </si>
  <si>
    <t>Monica Da Silva Cruz</t>
  </si>
  <si>
    <t>Rogério Henrique Bezerra De Macedo</t>
  </si>
  <si>
    <t>Claudio Manoel Dos Santos Silva</t>
  </si>
  <si>
    <t>SEBASTIAO TULIO PIRES FERREIRA SANTOS</t>
  </si>
  <si>
    <t>ALEX ALMEIDA DO NASCIMENTO</t>
  </si>
  <si>
    <t>JOSENIAS FERREIRA DOS SANTOS</t>
  </si>
  <si>
    <t>Dominic Kesley da Silva Nascimento</t>
  </si>
  <si>
    <t>Caio Teixeira França</t>
  </si>
  <si>
    <t>LETICIA SOUZA XAVIER</t>
  </si>
  <si>
    <t>Sergilvan Da Silva Paixao Dias</t>
  </si>
  <si>
    <t>João Batista Gomes</t>
  </si>
  <si>
    <t>Alisson Da Silva Paes</t>
  </si>
  <si>
    <t>Kayo Henrique Almeida De Oliveira</t>
  </si>
  <si>
    <t>Fabio Junior Rodrigues Cardoso</t>
  </si>
  <si>
    <t>Roberivan Do Nascimento Alves</t>
  </si>
  <si>
    <t>Micael Cabral Dos Santos</t>
  </si>
  <si>
    <t>Renato Medeiros De Lucena</t>
  </si>
  <si>
    <t>Claudemir Ribeiro Da Costa</t>
  </si>
  <si>
    <t>KARMINE CLEWDSON DE ALMEIDA FREIRE JUNIOR</t>
  </si>
  <si>
    <t>Gilvan Leal Santos</t>
  </si>
  <si>
    <t>David Willian Oliveira Santos</t>
  </si>
  <si>
    <t>Ueidson Da Silva Santos Júnior</t>
  </si>
  <si>
    <t>Jonatthan Will Teixeira Leite</t>
  </si>
  <si>
    <t>DAVI CAVALCANTE DE MENEZES</t>
  </si>
  <si>
    <t>Erison Geordane Vieira Quirino</t>
  </si>
  <si>
    <t>Giancarlo Souza de Santana</t>
  </si>
  <si>
    <t>Aianny Mikaelly Andrade Medeiros</t>
  </si>
  <si>
    <t>Caroline Almeida da Silva</t>
  </si>
  <si>
    <t>Rhaysa Victoria Rozendo</t>
  </si>
  <si>
    <t>Claudionor Rodrigues Basílio</t>
  </si>
  <si>
    <t>Andrey Mazurkiewicz Aquino Alencar</t>
  </si>
  <si>
    <t>LARA LUISA DA SILVA SANTOS</t>
  </si>
  <si>
    <t>Kauã Gabriel</t>
  </si>
  <si>
    <t>Mayala Carvalho de Oliveira Fontes</t>
  </si>
  <si>
    <t>Rodrigo Domingos Rocha</t>
  </si>
  <si>
    <t>Fernando de Carvalho Batista</t>
  </si>
  <si>
    <t>Juliana Da Silva Soares</t>
  </si>
  <si>
    <t>Alessandra Paula Do Nascimento Souza</t>
  </si>
  <si>
    <t>KAIO VINICIO MOREIRA DA SILVA</t>
  </si>
  <si>
    <t>Ramon Rocha de Azevedo</t>
  </si>
  <si>
    <t>BIANCA DA SILVA STORCH</t>
  </si>
  <si>
    <t>Dyoginy Deyvidy de Aguiar Alves</t>
  </si>
  <si>
    <t>ROMARIO CANDEIAS VITAL</t>
  </si>
  <si>
    <t>Paulo Sérgio dos santos Bernardino</t>
  </si>
  <si>
    <t>Washington de Andrade Ferreira</t>
  </si>
  <si>
    <t>ALIFER OLINA SOARES</t>
  </si>
  <si>
    <t>Marina Silva</t>
  </si>
  <si>
    <t>Marcela De Andrade</t>
  </si>
  <si>
    <t>Vilquer Fonseca ramos de Sá junior</t>
  </si>
  <si>
    <t>Juedson Rodrigues da Fonseca</t>
  </si>
  <si>
    <t>Jonatas Philipe Alves Pereira Ribeiro</t>
  </si>
  <si>
    <t>Jaqueline Souza Galvão</t>
  </si>
  <si>
    <t>Padua Jose de Lima Miranda</t>
  </si>
  <si>
    <t>Marcos Albert santos Queiróz</t>
  </si>
  <si>
    <t>Marlise Santana Da Silva</t>
  </si>
  <si>
    <t>Larissa Rodrigues de Alencar</t>
  </si>
  <si>
    <t>Robério Barbosa De Lima</t>
  </si>
  <si>
    <t>FLAVIO JOSE DA SILVA ALVES</t>
  </si>
  <si>
    <t>Vitor Alves Cardoso</t>
  </si>
  <si>
    <t>Allyson Ribeiro Reis</t>
  </si>
  <si>
    <t>Mychel dyego dos santos bezerra</t>
  </si>
  <si>
    <t>Victor de Araújo Souza</t>
  </si>
  <si>
    <t>Matheus Carneiro de Mendonça</t>
  </si>
  <si>
    <t>TIAGO RIBEIRO PEREIRA</t>
  </si>
  <si>
    <t>Tiago Leal Lira</t>
  </si>
  <si>
    <t>Antonio Carlps Cardoso</t>
  </si>
  <si>
    <t>Liurynã Maurício de Lima e Silva</t>
  </si>
  <si>
    <t>Cosmira Bulhões Santos Leite</t>
  </si>
  <si>
    <t>Leonardo Vieira Alexandre Da Silva</t>
  </si>
  <si>
    <t>Djalma Batista da Silva</t>
  </si>
  <si>
    <t>Ronaldo Rodrigues Cerqueira</t>
  </si>
  <si>
    <t>Thiago Henrique Pereira dos Santos</t>
  </si>
  <si>
    <t>Severino Barbosa Ferreira</t>
  </si>
  <si>
    <t>Melissa Melo</t>
  </si>
  <si>
    <t>Anderson Samuel da Silva Batista</t>
  </si>
  <si>
    <t>Gabriel silva Ferreira</t>
  </si>
  <si>
    <t>Ednelma Silva Santos</t>
  </si>
  <si>
    <t>Francisco Chagas Rocha Martins</t>
  </si>
  <si>
    <t>Ruan Macedo Dos Reis</t>
  </si>
  <si>
    <t>Iuri Alisson de Lima Porfirio</t>
  </si>
  <si>
    <t>José Sebastião Porfirio de Lima</t>
  </si>
  <si>
    <t>Alan Jhonatas Alves Soares</t>
  </si>
  <si>
    <t>Ronat Trindade Rocha</t>
  </si>
  <si>
    <t>Cristiano Dos Santos Vieira</t>
  </si>
  <si>
    <t>Erick Adam Félix Ferreira</t>
  </si>
  <si>
    <t>Rodrigo Borba de Carvalho</t>
  </si>
  <si>
    <t>Wesley Ferreira Da Paixao</t>
  </si>
  <si>
    <t>ROBERTA LARIZE FERREIRA DOS SANTOS</t>
  </si>
  <si>
    <t>Jhonatan melo dos santos</t>
  </si>
  <si>
    <t>Jefferson Alfredo Lima Dias</t>
  </si>
  <si>
    <t>Neudiran Rodrigues de Medeiros</t>
  </si>
  <si>
    <t>Gustavo varejao</t>
  </si>
  <si>
    <t>Daniel Saulo Almeida Ribeiro</t>
  </si>
  <si>
    <t>Luiz Pedro da Silva Neto</t>
  </si>
  <si>
    <t>Alonso Jose Da Silva Neto</t>
  </si>
  <si>
    <t>Adonias Marinho rosa</t>
  </si>
  <si>
    <t>David Dos Santos Rodrigues</t>
  </si>
  <si>
    <t>Darlan Novaes Souza Junior</t>
  </si>
  <si>
    <t>Humberto Souza De Andrade</t>
  </si>
  <si>
    <t>Laís Fernanda Pereira dos Santos</t>
  </si>
  <si>
    <t>Thalita Siqueira Silva</t>
  </si>
  <si>
    <t>LAZARO CAMPOS MEIRELES</t>
  </si>
  <si>
    <t>Eduardo Dos Santos De Souza</t>
  </si>
  <si>
    <t>Valdeni da silva</t>
  </si>
  <si>
    <t>Lucas Da Silva Alves Pimentel</t>
  </si>
  <si>
    <t>Frank Holder Galindo Da Silva</t>
  </si>
  <si>
    <t>Jailton José Da Silva</t>
  </si>
  <si>
    <t>Tassio Rafael de Souza</t>
  </si>
  <si>
    <t>Geovane Fernando Ferreira</t>
  </si>
  <si>
    <t>Josefa Neres Reis Me</t>
  </si>
  <si>
    <t>Willian Silva Matos</t>
  </si>
  <si>
    <t>Israel Gonçalves Da Silva Soares</t>
  </si>
  <si>
    <t>Rodrigo Montenegro Lima Maia</t>
  </si>
  <si>
    <t>KLEBERSON SILVA DE JESUS</t>
  </si>
  <si>
    <t>Thiago Fagundes Da Silva</t>
  </si>
  <si>
    <t>Felipe Gutemberg Costa Gomes</t>
  </si>
  <si>
    <t>Jhennfer Souza Alcantara</t>
  </si>
  <si>
    <t>André marcos do nascimento Monteiro dos santos</t>
  </si>
  <si>
    <t>José Tarcísio Marques de Melo Junior</t>
  </si>
  <si>
    <t>Elias De Cerqueira Bezerra</t>
  </si>
  <si>
    <t>Viviane Pereira de Souza</t>
  </si>
  <si>
    <t>Alex de Assis Oliveira</t>
  </si>
  <si>
    <t>Sidney Candido de Brito</t>
  </si>
  <si>
    <t>Kevin Wesley Mendes pinheiro dos santos</t>
  </si>
  <si>
    <t>Jacson Jesus da fonseca</t>
  </si>
  <si>
    <t>Marília Gomes dos Santos</t>
  </si>
  <si>
    <t>Cleilson Da Silva Sena</t>
  </si>
  <si>
    <t>Geyza Maria Braz da Silva</t>
  </si>
  <si>
    <t>Jairo Figueredo dos Santos</t>
  </si>
  <si>
    <t>JEFFERSON KAUAN DO NASCIMENTO BORGES</t>
  </si>
  <si>
    <t>Cristina Loula Lopes</t>
  </si>
  <si>
    <t>Maria Luiza de Sá Menezes</t>
  </si>
  <si>
    <t>Antônio Genildo Lopes</t>
  </si>
  <si>
    <t>Manoel Florêncio De Sousa</t>
  </si>
  <si>
    <t>Tarceildo Soares Da Silva</t>
  </si>
  <si>
    <t>Adilson Queiroz de Jesus</t>
  </si>
  <si>
    <t>Claudionor Alves De Oliveira Neto</t>
  </si>
  <si>
    <t>João Marcos Teles Vitor</t>
  </si>
  <si>
    <t>LAURA LUISA SANTOS FERNANDES</t>
  </si>
  <si>
    <t>Kleber Santos Bomfim</t>
  </si>
  <si>
    <t>Antônio Cristiano De Sousa Almeida</t>
  </si>
  <si>
    <t>Robinson da Silva Alves</t>
  </si>
  <si>
    <t>Bianca Santos</t>
  </si>
  <si>
    <t>Emanuela Juliao</t>
  </si>
  <si>
    <t>Gerffson Augusto dos Santos Araújo</t>
  </si>
  <si>
    <t>Sergio Marcio Santos de Oliveira</t>
  </si>
  <si>
    <t>Bruno França dos Santos</t>
  </si>
  <si>
    <t>Wleybon Augusto De Moraes Santos</t>
  </si>
  <si>
    <t>José Davirlan Cardoso Silva</t>
  </si>
  <si>
    <t>Maiara Gabriel Santos</t>
  </si>
  <si>
    <t>Ana Beatriz Cordeiro De Andrade</t>
  </si>
  <si>
    <t>Erik Levi Ferreira Sousa</t>
  </si>
  <si>
    <t>Dilson Cordier de Souza Neto</t>
  </si>
  <si>
    <t>Erivonaldo Gomes de Souza Junior</t>
  </si>
  <si>
    <t>Claudenilson Cordeiro de Lima Junior</t>
  </si>
  <si>
    <t>Leonardo Rodrigues da silva</t>
  </si>
  <si>
    <t>Artur Cassimiro do Nascimento</t>
  </si>
  <si>
    <t>Giovana de Lima Barreto</t>
  </si>
  <si>
    <t>José Iago Alves da Silva</t>
  </si>
  <si>
    <t>EDUARDO LACERDA DA SILVA</t>
  </si>
  <si>
    <t>GILVANEIDE FELINA DA CRUZ</t>
  </si>
  <si>
    <t>KATIELE SOARES DE OLIVEIRA</t>
  </si>
  <si>
    <t>Emerson da Silva Moura</t>
  </si>
  <si>
    <t>DYEGO DE AZEVEDO SANTOS</t>
  </si>
  <si>
    <t>Leilo frank silva mota</t>
  </si>
  <si>
    <t>Gllauben Jacob dos Santos Ferreira</t>
  </si>
  <si>
    <t>Gabriela Oliveira Clemente</t>
  </si>
  <si>
    <t>Kaique sauan da Costa Souza</t>
  </si>
  <si>
    <t>JOSE VALDECI DE SOUZA</t>
  </si>
  <si>
    <t>Gabriel Rodrigues Santos</t>
  </si>
  <si>
    <t>Wendel Almeida Rodrigues</t>
  </si>
  <si>
    <t>Pedro Moreira Da Silva</t>
  </si>
  <si>
    <t>Renan Franco Moreira</t>
  </si>
  <si>
    <t>TAILAN DOS SANTOS</t>
  </si>
  <si>
    <t>JORGE SANTOS SILVA</t>
  </si>
  <si>
    <t>Hermeson Betuel dos Santos</t>
  </si>
  <si>
    <t>Osnir da Silva Lima</t>
  </si>
  <si>
    <t>Paulo Vicente da Ressurreição Sampaio</t>
  </si>
  <si>
    <t>MARCELO EZEQUIEL  SANTOS</t>
  </si>
  <si>
    <t>Djalma De Barros</t>
  </si>
  <si>
    <t>Ana Beatriz Silva e Silva</t>
  </si>
  <si>
    <t>ADALBERON FURTADO BEZERRA JUNIOR</t>
  </si>
  <si>
    <t>Maria Regina Santos dos Reis</t>
  </si>
  <si>
    <t>Erik Gabriel Dias Rocha</t>
  </si>
  <si>
    <t>Nathali Victoria Silva Nascimento</t>
  </si>
  <si>
    <t>Marcirio José Carneiro Bruzaca Junior</t>
  </si>
  <si>
    <t>Noah Feitosa mota</t>
  </si>
  <si>
    <t>Patrícia Silva Santos</t>
  </si>
  <si>
    <t>Vivian Trajano de Santana Araújo</t>
  </si>
  <si>
    <t>Washington dos Santos Lima</t>
  </si>
  <si>
    <t>Isabel Costa Pereira</t>
  </si>
  <si>
    <t>ELIS REGINA DIAS PEREIRA NASCIMENTO</t>
  </si>
  <si>
    <t>Marcelo Vieira da Silva chaves</t>
  </si>
  <si>
    <t>Ana Cristina dos Santos alves</t>
  </si>
  <si>
    <t>Marcos Paulo Constantino</t>
  </si>
  <si>
    <t>Ueides souza de azevedo</t>
  </si>
  <si>
    <t>Jaoa Rodrigo da Silva</t>
  </si>
  <si>
    <t>LUCAS SOUZA SANTOS</t>
  </si>
  <si>
    <t>JOSE KELVISON DE OLIVEIRA SOARES</t>
  </si>
  <si>
    <t>Pricila Ferreira Soares</t>
  </si>
  <si>
    <t>Renan Meyson Pereira Da Silva</t>
  </si>
  <si>
    <t>Vitor Da Silva Santos</t>
  </si>
  <si>
    <t>Gabriel Barbosa Dos Santos</t>
  </si>
  <si>
    <t>Francisco Pereira de Morais Júnior</t>
  </si>
  <si>
    <t>GABRIEL HENRIQUE ALVES FRANCELINO</t>
  </si>
  <si>
    <t>Jhonatan Alves Albino</t>
  </si>
  <si>
    <t>Edsandra Abílio de Sousa Lima</t>
  </si>
  <si>
    <t>kelly lais farias geraldo</t>
  </si>
  <si>
    <t>Adelania Guedes Alves</t>
  </si>
  <si>
    <t>Carlos Vinicius Cardoso Feliciano</t>
  </si>
  <si>
    <t>Deibson Jose da Silva</t>
  </si>
  <si>
    <t>Mateus Gabriel Lopes De Carvalho</t>
  </si>
  <si>
    <t>Paulo César Carvalho Souza</t>
  </si>
  <si>
    <t>Gabriel De Sa Nunes Siqueira</t>
  </si>
  <si>
    <t>Kalyel Gomes Ferreira</t>
  </si>
  <si>
    <t>Rafaela Pereira Da Silva</t>
  </si>
  <si>
    <t>Walbert TESTE</t>
  </si>
  <si>
    <t>matheus vinicius machado de santana</t>
  </si>
  <si>
    <t>Tiago Dias Adorno</t>
  </si>
  <si>
    <t>Marcelo Francisco De Jesus</t>
  </si>
  <si>
    <t>Lyndonjohnson Dionisio Lima</t>
  </si>
  <si>
    <t>Rosangela Maria</t>
  </si>
  <si>
    <t>Ruan Victor Silva Lopes</t>
  </si>
  <si>
    <t>Ícaro Fernando Querino Oliveira</t>
  </si>
  <si>
    <t>Jailson Teotônio</t>
  </si>
  <si>
    <t>MARCOS GABRIEL DE OLIVEIRA FREITAS</t>
  </si>
  <si>
    <t>Daniel Antonio Santos</t>
  </si>
  <si>
    <t>Diego Silva das Neves</t>
  </si>
  <si>
    <t>Israel Aleixo Da Silva</t>
  </si>
  <si>
    <t>Fabio Figueiroa Ferreira</t>
  </si>
  <si>
    <t>José adailton Honório dos Santos</t>
  </si>
  <si>
    <t>RAFAEL BEZERRA DA SILVA</t>
  </si>
  <si>
    <t>Luan Laudemiro Da Silva Santos Pereira</t>
  </si>
  <si>
    <t>Antônio Carlos Araújo De Souza</t>
  </si>
  <si>
    <t>Keweni Willames Alves Pinto</t>
  </si>
  <si>
    <t>TAMIRES BARBOSA LAURENTINO</t>
  </si>
  <si>
    <t>Diego Correia Dias</t>
  </si>
  <si>
    <t>Elison Wesley Araújo Ferreira</t>
  </si>
  <si>
    <t>RENAN ALVES DA SILVA</t>
  </si>
  <si>
    <t>Maria Luiza Almeida de Oliveira</t>
  </si>
  <si>
    <t>Stanley Rodrigues Monção</t>
  </si>
  <si>
    <t>ANDERSON MORAES CALDAS</t>
  </si>
  <si>
    <t>Edicleiton Manoel Da Silva</t>
  </si>
  <si>
    <t>Michael Lilivan Lima Goes</t>
  </si>
  <si>
    <t>Rafael Lima Do Nascimento</t>
  </si>
  <si>
    <t>GABRIEL DE PINHO GONCALVES ALMEIDA</t>
  </si>
  <si>
    <t>Demétrio José de Lemos</t>
  </si>
  <si>
    <t>José Henrique Tenório Marques Da Silva</t>
  </si>
  <si>
    <t>Janielson Barbosa De Almeida</t>
  </si>
  <si>
    <t>Euvan Da Hora</t>
  </si>
  <si>
    <t>Thalita dos Santos Silva</t>
  </si>
  <si>
    <t>Jose Inacio Santos</t>
  </si>
  <si>
    <t>Kauam Gutemberg Nonato Da Silva</t>
  </si>
  <si>
    <t>Emerson Venicio Silva Da Cruz</t>
  </si>
  <si>
    <t>Endry pereira da silva</t>
  </si>
  <si>
    <t>Thiago Vicente simiao</t>
  </si>
  <si>
    <t>JOSE FRANCISCO DOS SANTOS FERREIRA</t>
  </si>
  <si>
    <t>Davi Pereira de Souza Filho</t>
  </si>
  <si>
    <t>Jhonatan da Conceição Ribeiro</t>
  </si>
  <si>
    <t>PETRUCIA BOMFIM DA SILVA GOMES</t>
  </si>
  <si>
    <t>Sandra katia Vieira de Sousa</t>
  </si>
  <si>
    <t>ARTHUR HENRIQUE DE LIMA BARBOSA</t>
  </si>
  <si>
    <t>Esdras Pereira Barra</t>
  </si>
  <si>
    <t>Alisson Rafael  Dantas De Oliveira</t>
  </si>
  <si>
    <t>Luiz Fernando de Senna Geraldes</t>
  </si>
  <si>
    <t>LAYRA LAYNE LUSTOSA SENTO SE FREIRE</t>
  </si>
  <si>
    <t>Wellington Oliveira da Silva</t>
  </si>
  <si>
    <t>EDCARLOS LACERDA DA SILVA MAGALHAES</t>
  </si>
  <si>
    <t>NIVALDO PEREIRA LIMA NETO</t>
  </si>
  <si>
    <t>RAMIRES DA SILVA E SILVA</t>
  </si>
  <si>
    <t>João Paulo De Almeida Oliveira</t>
  </si>
  <si>
    <t>Ramon Silva Mota</t>
  </si>
  <si>
    <t>Lucas de Brito Menezes</t>
  </si>
  <si>
    <t>Joedson Lima de Sousa</t>
  </si>
  <si>
    <t>Ramon Tardelle Bezerra e Silva</t>
  </si>
  <si>
    <t>Natanael Maciel De Araújo</t>
  </si>
  <si>
    <t>Erismar Dionísio Pereira</t>
  </si>
  <si>
    <t>Valeria Thaís Coelho Nonato</t>
  </si>
  <si>
    <t>Ramon Natágoras Alves De Albuquerque</t>
  </si>
  <si>
    <t>Rayllan Barbosa dos Santos</t>
  </si>
  <si>
    <t>Ariana Grazielly Soares da Silva</t>
  </si>
  <si>
    <t>Clifton da Costa Gonçalves</t>
  </si>
  <si>
    <t>NATANAEL VICENTE DE ARRUDA</t>
  </si>
  <si>
    <t>GEDENILSON SILVA BARBOSA</t>
  </si>
  <si>
    <t>Anny Grazielly da Rocha Silva</t>
  </si>
  <si>
    <t>Isaac Wandysley Feitosa Vieira</t>
  </si>
  <si>
    <t>Maria Eduarda Medeiros Moreira</t>
  </si>
  <si>
    <t>Samuel Do Nascimento Souza</t>
  </si>
  <si>
    <t>Ronaldo de Jesus Mendes da Silva</t>
  </si>
  <si>
    <t>Gustavo Leandro Gomes dos santos</t>
  </si>
  <si>
    <t>BRUNO PINHEIRO DE ALMEIDA</t>
  </si>
  <si>
    <t>Eneas Cabral De Oliveira Melo Neto</t>
  </si>
  <si>
    <t>Maria Jamily Da Silva Mitri De Sousa</t>
  </si>
  <si>
    <t>Cristiano Jose da Silva Mendonça</t>
  </si>
  <si>
    <t>Elionaldo Lima De Andrade</t>
  </si>
  <si>
    <t>Viviane Rodrigues da Silva</t>
  </si>
  <si>
    <t>Julio Castro De Oliveira</t>
  </si>
  <si>
    <t>Patrick Ferreira de Jesus</t>
  </si>
  <si>
    <t>Marcos Gomes leal Júnior</t>
  </si>
  <si>
    <t>José Luis Rodrigues Da Silva</t>
  </si>
  <si>
    <t>Natanael Gheovani Borges De Freitas</t>
  </si>
  <si>
    <t>Priscyla soares monteiro</t>
  </si>
  <si>
    <t>MATHEUS GUEDES DA SILVA GOUVEIA</t>
  </si>
  <si>
    <t>Vinicius Vieira Fonsêca Pereira</t>
  </si>
  <si>
    <t>Paulo Henrique Santos da Silva</t>
  </si>
  <si>
    <t>Otaviano Jarbas Araújo Alves Leal</t>
  </si>
  <si>
    <t>Indra Daiane Castro Souza</t>
  </si>
  <si>
    <t>Camila Ferreira Da Silva</t>
  </si>
  <si>
    <t>Marcio Antunes Bastos</t>
  </si>
  <si>
    <t>Rodrigo Rocha Cavalcante</t>
  </si>
  <si>
    <t>Andriel lima Pereira</t>
  </si>
  <si>
    <t>Lucas Antônio Gomes Silva</t>
  </si>
  <si>
    <t>Maria Vanessa Bernardina Soares</t>
  </si>
  <si>
    <t>JOAO VICTOR DA SILVA CONCEICAO</t>
  </si>
  <si>
    <t>Uender Alves dos Santos</t>
  </si>
  <si>
    <t>Rafaela Matos Silveira</t>
  </si>
  <si>
    <t>Daniel Henrique Da Silva</t>
  </si>
  <si>
    <t>Daniel Quentino Cavalcante</t>
  </si>
  <si>
    <t>Jonatha Francisco Dos Santos</t>
  </si>
  <si>
    <t>Cleberson Cesar</t>
  </si>
  <si>
    <t>Ana Jaqueline Dos Santos</t>
  </si>
  <si>
    <t>Andressa Ellen Araújo De Oliveira</t>
  </si>
  <si>
    <t>FRANCISCO UENIO PEREIRA DA SILVA</t>
  </si>
  <si>
    <t>JOSE LUIZ XAVIER MENDES</t>
  </si>
  <si>
    <t>Sandro Márcio Vicente dos Santos</t>
  </si>
  <si>
    <t>RICARDO BRUNO RODRIGUES DE MOURA</t>
  </si>
  <si>
    <t>Luiz Fernando Nunes Almeida</t>
  </si>
  <si>
    <t>Edielson Souza Marques</t>
  </si>
  <si>
    <t>Laerte Bispo Almeida</t>
  </si>
  <si>
    <t>Gildemar Sena Oliveira Júnior</t>
  </si>
  <si>
    <t>Marcos César de Góis Magalhães</t>
  </si>
  <si>
    <t>Rhaiane Ingrid Menezes de Andrade</t>
  </si>
  <si>
    <t>Calebe Mogamy Da Silva  Cerqueira Bezerra</t>
  </si>
  <si>
    <t>Laryssa bessa dos Santos Silva</t>
  </si>
  <si>
    <t>José Edmilson Ferreira Maia</t>
  </si>
  <si>
    <t>Marcos Alves Da Silva</t>
  </si>
  <si>
    <t>Jakeline das Neves de Medeiros</t>
  </si>
  <si>
    <t>Larissa dos santos Modesto</t>
  </si>
  <si>
    <t>Betuel Bezerra Casusa</t>
  </si>
  <si>
    <t>MARLON MACHADO DA SILVA</t>
  </si>
  <si>
    <t>Juraci Evangelista De Amorim Neto</t>
  </si>
  <si>
    <t>Fabrício Lopes Vieira</t>
  </si>
  <si>
    <t>Raiza Ximenes Alves</t>
  </si>
  <si>
    <t>PAULO HENRIQUE DE SOUSAVIEIRA</t>
  </si>
  <si>
    <t>DAVID FERNANDO BARBOSA VIEIRA</t>
  </si>
  <si>
    <t>Joao Paulo de Araujo Teixeira</t>
  </si>
  <si>
    <t>Osvaldo Luiiz de franca</t>
  </si>
  <si>
    <t>FLABIA CARMO PEIXOTO</t>
  </si>
  <si>
    <t>Cleito pereira lopes</t>
  </si>
  <si>
    <t>Guilhe Neto Rodrigues</t>
  </si>
  <si>
    <t>Maria Daiana vieira da Silva</t>
  </si>
  <si>
    <t>Ricardo José da Silva</t>
  </si>
  <si>
    <t>ALISSON SANTOS ALMEIDA</t>
  </si>
  <si>
    <t>Edivaldo Albuquerque De Aguiar Junior</t>
  </si>
  <si>
    <t>Patrícia Pereira Silva Carneiro</t>
  </si>
  <si>
    <t>João Pedro Gomes da Silva</t>
  </si>
  <si>
    <t>Luciano Bento Da Silva</t>
  </si>
  <si>
    <t>Luis Fernandes Da Silva Barbosa Santos</t>
  </si>
  <si>
    <t>Luiz Alessandro Farias de Oliveira Lacerda</t>
  </si>
  <si>
    <t>Clebio Vicente Santos Silva</t>
  </si>
  <si>
    <t>MARCUS ANDRE MENEZES DOS SANTOS</t>
  </si>
  <si>
    <t>BRUNO HENRIQUE DA SIVA CALHEIROS</t>
  </si>
  <si>
    <t>Arisllayne Mikaelly Nunes dos Santos</t>
  </si>
  <si>
    <t>Raimundo Nonato Silva Mota</t>
  </si>
  <si>
    <t>Guilherme Anthony Cruz Leite dos Santos</t>
  </si>
  <si>
    <t>Fábio Antônio Dutra Júnior</t>
  </si>
  <si>
    <t>Fernando Nascimento Santos</t>
  </si>
  <si>
    <t>Edyelton Hermelles Tavares Reis</t>
  </si>
  <si>
    <t>José auri Michael da Silva</t>
  </si>
  <si>
    <t>João Miguel da Rocha Filho</t>
  </si>
  <si>
    <t>Jefferson da Costa Ferreira</t>
  </si>
  <si>
    <t>Alexandre Freitas Rodrigues</t>
  </si>
  <si>
    <t>Hugo Gabriel Martins Feitosa</t>
  </si>
  <si>
    <t>Jizelda da Silva Dantas Bastos</t>
  </si>
  <si>
    <t>Dayvid Denner Da Silva Gomes</t>
  </si>
  <si>
    <t>Edson William da Mota Lago</t>
  </si>
  <si>
    <t>Antônio Oliveira silva</t>
  </si>
  <si>
    <t>Rodolfo José De Melo Lucena</t>
  </si>
  <si>
    <t>Paulo Roberto De Oliveira Rodrigues</t>
  </si>
  <si>
    <t>Cristyane Elias</t>
  </si>
  <si>
    <t>Fablicio Pereira Santos</t>
  </si>
  <si>
    <t>GEORGE FERNANDO PEREIRA SILVA</t>
  </si>
  <si>
    <t>ROBSON BRITO DE MENEZES</t>
  </si>
  <si>
    <t>Karina Manuella da Silva</t>
  </si>
  <si>
    <t>Luanna Letícia Dantas Neto</t>
  </si>
  <si>
    <t>Wanderson Soares</t>
  </si>
  <si>
    <t>ANTONIO MARCOS DA ROCHA</t>
  </si>
  <si>
    <t>MARIANA SANTOS DE JESUS</t>
  </si>
  <si>
    <t>Maria Izabel Leite Guthierres</t>
  </si>
  <si>
    <t>Daniel José Oliveira Batista</t>
  </si>
  <si>
    <t>Francisco Pereira filho</t>
  </si>
  <si>
    <t>NATANAEL ALVES QUEIROZ JUNIOR</t>
  </si>
  <si>
    <t>Lázaro De Oliveira Silva</t>
  </si>
  <si>
    <t>LUCAS ANDRE FARIAS SANTOS</t>
  </si>
  <si>
    <t>FREDERICO SILVA DE CARVALHO</t>
  </si>
  <si>
    <t>FELIPE CARNEIRO DA COSTA</t>
  </si>
  <si>
    <t>ROSINEIDE LUZINETE DA SILVA</t>
  </si>
  <si>
    <t>Jeane da Silva Dias</t>
  </si>
  <si>
    <t>Vithor Gabriel dos santos pessoa</t>
  </si>
  <si>
    <t>Jonantha Willian Da Silva Pereira</t>
  </si>
  <si>
    <t>Robson José Da Silva</t>
  </si>
  <si>
    <t>Luiz José da Silva Filho</t>
  </si>
  <si>
    <t>Adriano Nascimento Silva</t>
  </si>
  <si>
    <t>Silvania saraiva de Franca silva</t>
  </si>
  <si>
    <t>Evandro Ferreira de Mendonça</t>
  </si>
  <si>
    <t>DAVI VITOR DA SILVA JUNIOR</t>
  </si>
  <si>
    <t>Thainá Silva Mendes</t>
  </si>
  <si>
    <t>Luiz Felipe Brito Silva</t>
  </si>
  <si>
    <t>Josemar da Silva Justiniano</t>
  </si>
  <si>
    <t>JONATAS CARNEIRO DA SILVA</t>
  </si>
  <si>
    <t>WEMMERSON VITAL DA SILVA</t>
  </si>
  <si>
    <t>Abelardo Maia Cavalcante</t>
  </si>
  <si>
    <t>Anderson André da Silva</t>
  </si>
  <si>
    <t>Pedro Henrique Batista Zilli</t>
  </si>
  <si>
    <t xml:space="preserve">CARLOS EDUARDO SILVA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</si>
</sst>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9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44" fontId="3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4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164" fontId="8" fillId="0" borderId="2" xfId="0" applyNumberFormat="1" applyFont="1" applyBorder="1"/>
    <xf numFmtId="4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4" fontId="4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3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4" fontId="4" fillId="3" borderId="0" xfId="0" applyNumberFormat="1" applyFont="1" applyFill="1" applyAlignment="1">
      <alignment horizontal="center" vertical="center"/>
    </xf>
    <xf numFmtId="44" fontId="7" fillId="0" borderId="1" xfId="0" applyNumberFormat="1" applyFont="1" applyBorder="1"/>
    <xf numFmtId="44" fontId="6" fillId="0" borderId="1" xfId="0" applyNumberFormat="1" applyFont="1" applyBorder="1"/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44" fontId="4" fillId="0" borderId="0" xfId="0" applyNumberFormat="1" applyFont="1" applyBorder="1" applyAlignment="1">
      <alignment horizontal="center" vertical="center"/>
    </xf>
    <xf numFmtId="44" fontId="4" fillId="3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90AE-5365-4E3B-B390-06ADCB53DF38}">
  <dimension ref="B2:S51"/>
  <sheetViews>
    <sheetView showGridLines="0" tabSelected="1" workbookViewId="0">
      <selection activeCell="H30" sqref="H30"/>
    </sheetView>
  </sheetViews>
  <sheetFormatPr defaultRowHeight="20.100000000000001" customHeight="1" x14ac:dyDescent="0.25"/>
  <cols>
    <col min="1" max="1" width="9.140625" style="2"/>
    <col min="2" max="2" width="31.28515625" style="21" customWidth="1"/>
    <col min="3" max="3" width="23.5703125" style="2" customWidth="1"/>
    <col min="4" max="4" width="22.5703125" style="7" customWidth="1"/>
    <col min="5" max="5" width="19.7109375" style="2" customWidth="1"/>
    <col min="6" max="6" width="21.42578125" style="2" customWidth="1"/>
    <col min="7" max="7" width="32.140625" style="2" customWidth="1"/>
    <col min="8" max="9" width="9.140625" style="2"/>
    <col min="10" max="10" width="20" style="2" customWidth="1"/>
    <col min="11" max="11" width="37.28515625" style="2" customWidth="1"/>
    <col min="12" max="16384" width="9.140625" style="2"/>
  </cols>
  <sheetData>
    <row r="2" spans="2:19" ht="20.100000000000001" customHeight="1" x14ac:dyDescent="0.25">
      <c r="B2" s="24" t="s">
        <v>0</v>
      </c>
      <c r="C2" s="19" t="s">
        <v>1</v>
      </c>
      <c r="D2" s="1" t="s">
        <v>2</v>
      </c>
      <c r="E2" s="19" t="s">
        <v>3</v>
      </c>
      <c r="F2" s="19" t="s">
        <v>4</v>
      </c>
      <c r="G2" s="19" t="s">
        <v>5</v>
      </c>
      <c r="J2" s="30" t="s">
        <v>6</v>
      </c>
      <c r="K2" s="30"/>
      <c r="M2" s="29"/>
      <c r="N2" s="29"/>
      <c r="O2" s="29"/>
      <c r="P2" s="29"/>
      <c r="Q2" s="29"/>
      <c r="R2" s="29"/>
      <c r="S2" s="29"/>
    </row>
    <row r="3" spans="2:19" ht="20.100000000000001" customHeight="1" x14ac:dyDescent="0.25">
      <c r="B3" s="25" t="s">
        <v>13</v>
      </c>
      <c r="C3" s="3">
        <v>901</v>
      </c>
      <c r="D3" s="4">
        <v>110379.16</v>
      </c>
      <c r="E3" s="4">
        <f>D3/C3</f>
        <v>122.50739178690344</v>
      </c>
      <c r="F3" s="3">
        <f>IFERROR(C3*_xlfn.XLOOKUP(E3,$J$4:$J$11,$K$4:$K$11,0,-1),0)</f>
        <v>1802</v>
      </c>
      <c r="G3" s="3" t="str">
        <f>IFERROR(VLOOKUP(F3,$J$14:$K$19,2,TRUE),"SEM PREMIAÇÃO")</f>
        <v>Hospedagem casal</v>
      </c>
      <c r="J3" s="19" t="s">
        <v>3</v>
      </c>
      <c r="K3" s="19" t="s">
        <v>8</v>
      </c>
    </row>
    <row r="4" spans="2:19" ht="20.100000000000001" customHeight="1" x14ac:dyDescent="0.25">
      <c r="B4" s="32" t="s">
        <v>10</v>
      </c>
      <c r="C4" s="3">
        <v>814</v>
      </c>
      <c r="D4" s="33">
        <v>106824.13</v>
      </c>
      <c r="E4" s="4">
        <f>D4/C4</f>
        <v>131.23357493857495</v>
      </c>
      <c r="F4" s="3">
        <f>IFERROR(C4*_xlfn.XLOOKUP(E4,$J$4:$J$11,$K$4:$K$11,0,-1),0)</f>
        <v>1628</v>
      </c>
      <c r="G4" s="3" t="str">
        <f>IFERROR(VLOOKUP(F4,$J$14:$K$19,2,TRUE),"SEM PREMIAÇÃO")</f>
        <v>Hospedagem casal</v>
      </c>
      <c r="J4" s="5">
        <v>450</v>
      </c>
      <c r="K4" s="6">
        <v>9</v>
      </c>
    </row>
    <row r="5" spans="2:19" ht="20.100000000000001" customHeight="1" x14ac:dyDescent="0.25">
      <c r="B5" s="31" t="s">
        <v>7</v>
      </c>
      <c r="C5" s="3">
        <v>774</v>
      </c>
      <c r="D5" s="4">
        <v>97028.96</v>
      </c>
      <c r="E5" s="4">
        <f>D5/C5</f>
        <v>125.36041343669251</v>
      </c>
      <c r="F5" s="3">
        <f>IFERROR(C5*_xlfn.XLOOKUP(E5,$J$4:$J$11,$K$4:$K$11,0,-1),0)</f>
        <v>1548</v>
      </c>
      <c r="G5" s="3" t="str">
        <f>IFERROR(VLOOKUP(F5,$J$14:$K$19,2,TRUE),"SEM PREMIAÇÃO")</f>
        <v>Hospedagem casal</v>
      </c>
      <c r="J5" s="5">
        <v>400</v>
      </c>
      <c r="K5" s="6">
        <v>8</v>
      </c>
    </row>
    <row r="6" spans="2:19" ht="20.100000000000001" customHeight="1" x14ac:dyDescent="0.25">
      <c r="B6" s="32" t="s">
        <v>1147</v>
      </c>
      <c r="C6" s="3">
        <v>610</v>
      </c>
      <c r="D6" s="4">
        <v>85495.96</v>
      </c>
      <c r="E6" s="4">
        <f>D6/C6</f>
        <v>140.15731147540984</v>
      </c>
      <c r="F6" s="3">
        <f>IFERROR(C6*_xlfn.XLOOKUP(E6,$J$4:$J$11,$K$4:$K$11,0,-1),0)</f>
        <v>1220</v>
      </c>
      <c r="G6" s="3" t="str">
        <f>IFERROR(VLOOKUP(F6,$J$14:$K$19,2,TRUE),"SEM PREMIAÇÃO")</f>
        <v>Hospedagem casal</v>
      </c>
      <c r="J6" s="5">
        <v>350</v>
      </c>
      <c r="K6" s="6">
        <v>7</v>
      </c>
    </row>
    <row r="7" spans="2:19" ht="20.100000000000001" customHeight="1" x14ac:dyDescent="0.25">
      <c r="B7" s="25" t="s">
        <v>33</v>
      </c>
      <c r="C7" s="3">
        <v>362</v>
      </c>
      <c r="D7" s="4">
        <v>54867.89</v>
      </c>
      <c r="E7" s="4">
        <f>D7/C7</f>
        <v>151.56875690607734</v>
      </c>
      <c r="F7" s="3">
        <f>IFERROR(C7*_xlfn.XLOOKUP(E7,$J$4:$J$11,$K$4:$K$11,0,-1),0)</f>
        <v>1086</v>
      </c>
      <c r="G7" s="3" t="str">
        <f>IFERROR(VLOOKUP(F7,$J$14:$K$19,2,TRUE),"SEM PREMIAÇÃO")</f>
        <v>Hospedagem casal</v>
      </c>
      <c r="J7" s="5">
        <v>250</v>
      </c>
      <c r="K7" s="6">
        <v>5</v>
      </c>
    </row>
    <row r="8" spans="2:19" ht="20.100000000000001" customHeight="1" x14ac:dyDescent="0.25">
      <c r="B8" s="32" t="s">
        <v>9</v>
      </c>
      <c r="C8" s="3">
        <v>511</v>
      </c>
      <c r="D8" s="28">
        <v>69975.509999999995</v>
      </c>
      <c r="E8" s="4">
        <f>D8/C8</f>
        <v>136.93837573385517</v>
      </c>
      <c r="F8" s="3">
        <f>IFERROR(C8*_xlfn.XLOOKUP(E8,$J$4:$J$11,$K$4:$K$11,0,-1),0)</f>
        <v>1022</v>
      </c>
      <c r="G8" s="3" t="str">
        <f>IFERROR(VLOOKUP(F8,$J$14:$K$19,2,TRUE),"SEM PREMIAÇÃO")</f>
        <v>Hospedagem casal</v>
      </c>
      <c r="J8" s="5">
        <v>200</v>
      </c>
      <c r="K8" s="6">
        <v>4</v>
      </c>
    </row>
    <row r="9" spans="2:19" ht="20.100000000000001" customHeight="1" x14ac:dyDescent="0.25">
      <c r="B9" s="25" t="s">
        <v>11</v>
      </c>
      <c r="C9" s="3">
        <v>441</v>
      </c>
      <c r="D9" s="4">
        <v>58033.05</v>
      </c>
      <c r="E9" s="4">
        <f>D9/C9</f>
        <v>131.59421768707483</v>
      </c>
      <c r="F9" s="3">
        <f>IFERROR(C9*_xlfn.XLOOKUP(E9,$J$4:$J$11,$K$4:$K$11,0,-1),0)</f>
        <v>882</v>
      </c>
      <c r="G9" s="3" t="str">
        <f>IFERROR(VLOOKUP(F9,$J$14:$K$19,2,TRUE),"SEM PREMIAÇÃO")</f>
        <v>Hospedagem individual</v>
      </c>
      <c r="J9" s="5">
        <v>150</v>
      </c>
      <c r="K9" s="6">
        <v>3</v>
      </c>
    </row>
    <row r="10" spans="2:19" ht="20.100000000000001" customHeight="1" x14ac:dyDescent="0.25">
      <c r="B10" s="25" t="s">
        <v>15</v>
      </c>
      <c r="C10" s="3">
        <v>293</v>
      </c>
      <c r="D10" s="4">
        <v>54339.03</v>
      </c>
      <c r="E10" s="4">
        <f>D10/C10</f>
        <v>185.45744027303755</v>
      </c>
      <c r="F10" s="3">
        <f>IFERROR(C10*_xlfn.XLOOKUP(E10,$J$4:$J$11,$K$4:$K$11,0,-1),0)</f>
        <v>879</v>
      </c>
      <c r="G10" s="3" t="str">
        <f>IFERROR(VLOOKUP(F10,$J$14:$K$19,2,TRUE),"SEM PREMIAÇÃO")</f>
        <v>Hospedagem individual</v>
      </c>
      <c r="J10" s="5">
        <v>100</v>
      </c>
      <c r="K10" s="6">
        <v>2</v>
      </c>
    </row>
    <row r="11" spans="2:19" ht="20.100000000000001" customHeight="1" x14ac:dyDescent="0.25">
      <c r="B11" s="32" t="s">
        <v>12</v>
      </c>
      <c r="C11" s="3">
        <v>293</v>
      </c>
      <c r="D11" s="4">
        <v>44094.53</v>
      </c>
      <c r="E11" s="4">
        <f>D11/C11</f>
        <v>150.49327645051193</v>
      </c>
      <c r="F11" s="3">
        <f>IFERROR(C11*_xlfn.XLOOKUP(E11,$J$4:$J$11,$K$4:$K$11,0,-1),0)</f>
        <v>879</v>
      </c>
      <c r="G11" s="3" t="str">
        <f>IFERROR(VLOOKUP(F11,$J$14:$K$19,2,TRUE),"SEM PREMIAÇÃO")</f>
        <v>Hospedagem individual</v>
      </c>
      <c r="J11" s="5">
        <v>50</v>
      </c>
      <c r="K11" s="6">
        <v>1</v>
      </c>
    </row>
    <row r="12" spans="2:19" ht="20.100000000000001" customHeight="1" x14ac:dyDescent="0.25">
      <c r="B12" s="32" t="s">
        <v>17</v>
      </c>
      <c r="C12" s="3">
        <v>393</v>
      </c>
      <c r="D12" s="4">
        <v>50954.54</v>
      </c>
      <c r="E12" s="4">
        <f>D12/C12</f>
        <v>129.65531806615778</v>
      </c>
      <c r="F12" s="3">
        <f>IFERROR(C12*_xlfn.XLOOKUP(E12,$J$4:$J$11,$K$4:$K$11,0,-1),0)</f>
        <v>786</v>
      </c>
      <c r="G12" s="3" t="str">
        <f>IFERROR(VLOOKUP(F12,$J$14:$K$19,2,TRUE),"SEM PREMIAÇÃO")</f>
        <v>Hospedagem individual</v>
      </c>
    </row>
    <row r="13" spans="2:19" ht="20.100000000000001" customHeight="1" x14ac:dyDescent="0.25">
      <c r="B13" s="32" t="s">
        <v>16</v>
      </c>
      <c r="C13" s="3">
        <v>382</v>
      </c>
      <c r="D13" s="4">
        <v>48096.4</v>
      </c>
      <c r="E13" s="4">
        <f>D13/C13</f>
        <v>125.90680628272251</v>
      </c>
      <c r="F13" s="3">
        <f>IFERROR(C13*_xlfn.XLOOKUP(E13,$J$4:$J$11,$K$4:$K$11,0,-1),0)</f>
        <v>764</v>
      </c>
      <c r="G13" s="3" t="str">
        <f>IFERROR(VLOOKUP(F13,$J$14:$K$19,2,TRUE),"SEM PREMIAÇÃO")</f>
        <v>Hospedagem individual</v>
      </c>
      <c r="J13" s="9" t="s">
        <v>19</v>
      </c>
      <c r="K13" s="9" t="s">
        <v>20</v>
      </c>
    </row>
    <row r="14" spans="2:19" ht="20.100000000000001" customHeight="1" x14ac:dyDescent="0.25">
      <c r="B14" s="32" t="s">
        <v>14</v>
      </c>
      <c r="C14" s="3">
        <v>381</v>
      </c>
      <c r="D14" s="4">
        <v>44505.9</v>
      </c>
      <c r="E14" s="4">
        <f>D14/C14</f>
        <v>116.81338582677165</v>
      </c>
      <c r="F14" s="3">
        <f>IFERROR(C14*_xlfn.XLOOKUP(E14,$J$4:$J$11,$K$4:$K$11,0,-1),0)</f>
        <v>762</v>
      </c>
      <c r="G14" s="3" t="str">
        <f>IFERROR(VLOOKUP(F14,$J$14:$K$19,2,TRUE),"SEM PREMIAÇÃO")</f>
        <v>Hospedagem individual</v>
      </c>
      <c r="J14" s="8">
        <v>500</v>
      </c>
      <c r="K14" s="8" t="s">
        <v>22</v>
      </c>
    </row>
    <row r="15" spans="2:19" ht="20.100000000000001" customHeight="1" x14ac:dyDescent="0.25">
      <c r="B15" s="32" t="s">
        <v>18</v>
      </c>
      <c r="C15" s="3">
        <v>229</v>
      </c>
      <c r="D15" s="4">
        <v>38966.449999999997</v>
      </c>
      <c r="E15" s="4">
        <f>D15/C15</f>
        <v>170.15917030567684</v>
      </c>
      <c r="F15" s="3">
        <f>IFERROR(C15*_xlfn.XLOOKUP(E15,$J$4:$J$11,$K$4:$K$11,0,-1),0)</f>
        <v>687</v>
      </c>
      <c r="G15" s="3" t="str">
        <f>IFERROR(VLOOKUP(F15,$J$14:$K$19,2,TRUE),"SEM PREMIAÇÃO")</f>
        <v>Hospedagem individual</v>
      </c>
      <c r="J15" s="10">
        <v>1000</v>
      </c>
      <c r="K15" s="8" t="s">
        <v>24</v>
      </c>
    </row>
    <row r="16" spans="2:19" ht="20.100000000000001" customHeight="1" x14ac:dyDescent="0.25">
      <c r="B16" s="32" t="s">
        <v>31</v>
      </c>
      <c r="C16" s="13">
        <v>322</v>
      </c>
      <c r="D16" s="34">
        <v>36163.199999999997</v>
      </c>
      <c r="E16" s="20">
        <f>D16/C16</f>
        <v>112.30807453416148</v>
      </c>
      <c r="F16" s="13">
        <f>IFERROR(C16*_xlfn.XLOOKUP(E16,$J$4:$J$11,$K$4:$K$11,0,-1),0)</f>
        <v>644</v>
      </c>
      <c r="G16" s="13" t="str">
        <f>IFERROR(VLOOKUP(F16,$J$14:$K$19,2,TRUE),"SEM PREMIAÇÃO")</f>
        <v>Hospedagem individual</v>
      </c>
      <c r="J16" s="10">
        <v>2500</v>
      </c>
      <c r="K16" s="8" t="s">
        <v>26</v>
      </c>
    </row>
    <row r="17" spans="2:11" ht="20.100000000000001" customHeight="1" x14ac:dyDescent="0.25">
      <c r="B17" s="32" t="s">
        <v>23</v>
      </c>
      <c r="C17" s="3">
        <v>315</v>
      </c>
      <c r="D17" s="4">
        <v>41369.64</v>
      </c>
      <c r="E17" s="4">
        <f>D17/C17</f>
        <v>131.33219047619048</v>
      </c>
      <c r="F17" s="3">
        <f>IFERROR(C17*_xlfn.XLOOKUP(E17,$J$4:$J$11,$K$4:$K$11,0,-1),0)</f>
        <v>630</v>
      </c>
      <c r="G17" s="3" t="str">
        <f>IFERROR(VLOOKUP(F17,$J$14:$K$19,2,TRUE),"SEM PREMIAÇÃO")</f>
        <v>Hospedagem individual</v>
      </c>
      <c r="J17" s="10">
        <v>5000</v>
      </c>
      <c r="K17" s="8" t="s">
        <v>28</v>
      </c>
    </row>
    <row r="18" spans="2:11" ht="20.100000000000001" customHeight="1" x14ac:dyDescent="0.25">
      <c r="B18" s="32" t="s">
        <v>38</v>
      </c>
      <c r="C18" s="3">
        <v>201</v>
      </c>
      <c r="D18" s="4">
        <v>31645.55</v>
      </c>
      <c r="E18" s="4">
        <f>D18/C18</f>
        <v>157.44054726368159</v>
      </c>
      <c r="F18" s="3">
        <f>IFERROR(C18*_xlfn.XLOOKUP(E18,$J$4:$J$11,$K$4:$K$11,0,-1),0)</f>
        <v>603</v>
      </c>
      <c r="G18" s="3" t="str">
        <f>IFERROR(VLOOKUP(F18,$J$14:$K$19,2,TRUE),"SEM PREMIAÇÃO")</f>
        <v>Hospedagem individual</v>
      </c>
      <c r="J18" s="10">
        <v>8000</v>
      </c>
      <c r="K18" s="8" t="s">
        <v>30</v>
      </c>
    </row>
    <row r="19" spans="2:11" s="21" customFormat="1" ht="20.100000000000001" customHeight="1" x14ac:dyDescent="0.25">
      <c r="B19" s="25" t="s">
        <v>34</v>
      </c>
      <c r="C19" s="3">
        <v>281</v>
      </c>
      <c r="D19" s="4">
        <v>39281.53</v>
      </c>
      <c r="E19" s="4">
        <f>D19/C19</f>
        <v>139.79192170818504</v>
      </c>
      <c r="F19" s="3">
        <f>IFERROR(C19*_xlfn.XLOOKUP(E19,$J$4:$J$11,$K$4:$K$11,0,-1),0)</f>
        <v>562</v>
      </c>
      <c r="G19" s="3" t="str">
        <f>IFERROR(VLOOKUP(F19,$J$14:$K$19,2,TRUE),"SEM PREMIAÇÃO")</f>
        <v>Hospedagem individual</v>
      </c>
      <c r="J19" s="22">
        <v>12000</v>
      </c>
      <c r="K19" s="23" t="s">
        <v>32</v>
      </c>
    </row>
    <row r="20" spans="2:11" ht="20.100000000000001" customHeight="1" x14ac:dyDescent="0.25">
      <c r="B20" s="25" t="s">
        <v>35</v>
      </c>
      <c r="C20" s="3">
        <v>186</v>
      </c>
      <c r="D20" s="4">
        <v>33066.68</v>
      </c>
      <c r="E20" s="4">
        <f>D20/C20</f>
        <v>177.77784946236559</v>
      </c>
      <c r="F20" s="3">
        <f>IFERROR(C20*_xlfn.XLOOKUP(E20,$J$4:$J$11,$K$4:$K$11,0,-1),0)</f>
        <v>558</v>
      </c>
      <c r="G20" s="3" t="str">
        <f>IFERROR(VLOOKUP(F20,$J$14:$K$19,2,TRUE),"SEM PREMIAÇÃO")</f>
        <v>Hospedagem individual</v>
      </c>
    </row>
    <row r="21" spans="2:11" ht="20.100000000000001" customHeight="1" x14ac:dyDescent="0.25">
      <c r="B21" s="25" t="s">
        <v>41</v>
      </c>
      <c r="C21" s="3">
        <v>275</v>
      </c>
      <c r="D21" s="4">
        <v>34900.61</v>
      </c>
      <c r="E21" s="4">
        <f>D21/C21</f>
        <v>126.9113090909091</v>
      </c>
      <c r="F21" s="3">
        <f>IFERROR(C21*_xlfn.XLOOKUP(E21,$J$4:$J$11,$K$4:$K$11,0,-1),0)</f>
        <v>550</v>
      </c>
      <c r="G21" s="3" t="str">
        <f>IFERROR(VLOOKUP(F21,$J$14:$K$19,2,TRUE),"SEM PREMIAÇÃO")</f>
        <v>Hospedagem individual</v>
      </c>
    </row>
    <row r="22" spans="2:11" ht="20.100000000000001" customHeight="1" x14ac:dyDescent="0.25">
      <c r="B22" s="25" t="s">
        <v>29</v>
      </c>
      <c r="C22" s="3">
        <v>183</v>
      </c>
      <c r="D22" s="4">
        <v>35012.089999999997</v>
      </c>
      <c r="E22" s="4">
        <f>D22/C22</f>
        <v>191.32289617486336</v>
      </c>
      <c r="F22" s="3">
        <f>IFERROR(C22*_xlfn.XLOOKUP(E22,$J$4:$J$11,$K$4:$K$11,0,-1),0)</f>
        <v>549</v>
      </c>
      <c r="G22" s="3" t="str">
        <f>IFERROR(VLOOKUP(F22,$J$14:$K$19,2,TRUE),"SEM PREMIAÇÃO")</f>
        <v>Hospedagem individual</v>
      </c>
    </row>
    <row r="23" spans="2:11" ht="20.100000000000001" customHeight="1" x14ac:dyDescent="0.25">
      <c r="B23" s="25" t="s">
        <v>37</v>
      </c>
      <c r="C23" s="3">
        <v>136</v>
      </c>
      <c r="D23" s="4">
        <v>29902.5</v>
      </c>
      <c r="E23" s="4">
        <f>D23/C23</f>
        <v>219.87132352941177</v>
      </c>
      <c r="F23" s="3">
        <f>IFERROR(C23*_xlfn.XLOOKUP(E23,$J$4:$J$11,$K$4:$K$11,0,-1),0)</f>
        <v>544</v>
      </c>
      <c r="G23" s="3" t="str">
        <f>IFERROR(VLOOKUP(F23,$J$14:$K$19,2,TRUE),"SEM PREMIAÇÃO")</f>
        <v>Hospedagem individual</v>
      </c>
    </row>
    <row r="24" spans="2:11" ht="20.100000000000001" customHeight="1" x14ac:dyDescent="0.25">
      <c r="B24" s="32" t="s">
        <v>36</v>
      </c>
      <c r="C24" s="3">
        <v>270</v>
      </c>
      <c r="D24" s="4">
        <v>29872.48</v>
      </c>
      <c r="E24" s="4">
        <f>D24/C24</f>
        <v>110.63881481481481</v>
      </c>
      <c r="F24" s="3">
        <f>IFERROR(C24*_xlfn.XLOOKUP(E24,$J$4:$J$11,$K$4:$K$11,0,-1),0)</f>
        <v>540</v>
      </c>
      <c r="G24" s="3" t="str">
        <f>IFERROR(VLOOKUP(F24,$J$14:$K$19,2,TRUE),"SEM PREMIAÇÃO")</f>
        <v>Hospedagem individual</v>
      </c>
    </row>
    <row r="25" spans="2:11" ht="20.100000000000001" customHeight="1" x14ac:dyDescent="0.25">
      <c r="B25" s="25" t="s">
        <v>39</v>
      </c>
      <c r="C25" s="3">
        <v>170</v>
      </c>
      <c r="D25" s="4">
        <v>28203.37</v>
      </c>
      <c r="E25" s="4">
        <f>D25/C25</f>
        <v>165.90217647058822</v>
      </c>
      <c r="F25" s="3">
        <f>IFERROR(C25*_xlfn.XLOOKUP(E25,$J$4:$J$11,$K$4:$K$11,0,-1),0)</f>
        <v>510</v>
      </c>
      <c r="G25" s="3" t="str">
        <f>IFERROR(VLOOKUP(F25,$J$14:$K$19,2,TRUE),"SEM PREMIAÇÃO")</f>
        <v>Hospedagem individual</v>
      </c>
    </row>
    <row r="26" spans="2:11" ht="20.100000000000001" customHeight="1" x14ac:dyDescent="0.25">
      <c r="B26" s="25" t="s">
        <v>21</v>
      </c>
      <c r="C26" s="3">
        <v>244</v>
      </c>
      <c r="D26" s="4">
        <v>34948.050000000003</v>
      </c>
      <c r="E26" s="4">
        <f>D26/C26</f>
        <v>143.22971311475411</v>
      </c>
      <c r="F26" s="3">
        <f>IFERROR(C26*_xlfn.XLOOKUP(E26,$J$4:$J$11,$K$4:$K$11,0,-1),0)</f>
        <v>488</v>
      </c>
      <c r="G26" s="3" t="str">
        <f>IFERROR(VLOOKUP(F26,$J$14:$K$19,2,TRUE),"SEM PREMIAÇÃO")</f>
        <v>SEM PREMIAÇÃO</v>
      </c>
    </row>
    <row r="27" spans="2:11" ht="20.100000000000001" customHeight="1" x14ac:dyDescent="0.25">
      <c r="B27" s="32" t="s">
        <v>25</v>
      </c>
      <c r="C27" s="3">
        <v>229</v>
      </c>
      <c r="D27" s="27">
        <v>31475.24</v>
      </c>
      <c r="E27" s="4">
        <f>D27/C27</f>
        <v>137.44646288209609</v>
      </c>
      <c r="F27" s="3">
        <f>IFERROR(C27*_xlfn.XLOOKUP(E27,$J$4:$J$11,$K$4:$K$11,0,-1),0)</f>
        <v>458</v>
      </c>
      <c r="G27" s="3" t="str">
        <f>IFERROR(VLOOKUP(F27,$J$14:$K$19,2,TRUE),"SEM PREMIAÇÃO")</f>
        <v>SEM PREMIAÇÃO</v>
      </c>
    </row>
    <row r="28" spans="2:11" ht="20.100000000000001" customHeight="1" x14ac:dyDescent="0.25">
      <c r="B28" s="25" t="s">
        <v>27</v>
      </c>
      <c r="C28" s="3">
        <v>152</v>
      </c>
      <c r="D28" s="4">
        <v>30101.51</v>
      </c>
      <c r="E28" s="4">
        <f>D28/C28</f>
        <v>198.03625</v>
      </c>
      <c r="F28" s="3">
        <f>IFERROR(C28*_xlfn.XLOOKUP(E28,$J$4:$J$11,$K$4:$K$11,0,-1),0)</f>
        <v>456</v>
      </c>
      <c r="G28" s="3" t="str">
        <f>IFERROR(VLOOKUP(F28,$J$14:$K$19,2,TRUE),"SEM PREMIAÇÃO")</f>
        <v>SEM PREMIAÇÃO</v>
      </c>
    </row>
    <row r="29" spans="2:11" ht="20.100000000000001" customHeight="1" x14ac:dyDescent="0.25">
      <c r="B29" s="25" t="s">
        <v>42</v>
      </c>
      <c r="C29" s="3">
        <v>220</v>
      </c>
      <c r="D29" s="4">
        <v>30098.82</v>
      </c>
      <c r="E29" s="4">
        <f>D29/C29</f>
        <v>136.81281818181819</v>
      </c>
      <c r="F29" s="3">
        <f>IFERROR(C29*_xlfn.XLOOKUP(E29,$J$4:$J$11,$K$4:$K$11,0,-1),0)</f>
        <v>440</v>
      </c>
      <c r="G29" s="3" t="str">
        <f>IFERROR(VLOOKUP(F29,$J$14:$K$19,2,TRUE),"SEM PREMIAÇÃO")</f>
        <v>SEM PREMIAÇÃO</v>
      </c>
    </row>
    <row r="30" spans="2:11" ht="20.100000000000001" customHeight="1" x14ac:dyDescent="0.25">
      <c r="B30" s="25" t="s">
        <v>46</v>
      </c>
      <c r="C30" s="3">
        <v>145</v>
      </c>
      <c r="D30" s="4">
        <v>24954.12</v>
      </c>
      <c r="E30" s="4">
        <f>D30/C30</f>
        <v>172.09737931034482</v>
      </c>
      <c r="F30" s="3">
        <f>IFERROR(C30*_xlfn.XLOOKUP(E30,$J$4:$J$11,$K$4:$K$11,0,-1),0)</f>
        <v>435</v>
      </c>
      <c r="G30" s="3" t="str">
        <f>IFERROR(VLOOKUP(F30,$J$14:$K$19,2,TRUE),"SEM PREMIAÇÃO")</f>
        <v>SEM PREMIAÇÃO</v>
      </c>
    </row>
    <row r="31" spans="2:11" ht="20.100000000000001" customHeight="1" x14ac:dyDescent="0.25">
      <c r="B31" s="25" t="s">
        <v>40</v>
      </c>
      <c r="C31" s="3">
        <v>207</v>
      </c>
      <c r="D31" s="4">
        <v>23991.599999999999</v>
      </c>
      <c r="E31" s="4">
        <f>D31/C31</f>
        <v>115.90144927536231</v>
      </c>
      <c r="F31" s="3">
        <f>IFERROR(C31*_xlfn.XLOOKUP(E31,$J$4:$J$11,$K$4:$K$11,0,-1),0)</f>
        <v>414</v>
      </c>
      <c r="G31" s="3" t="str">
        <f>IFERROR(VLOOKUP(F31,$J$14:$K$19,2,TRUE),"SEM PREMIAÇÃO")</f>
        <v>SEM PREMIAÇÃO</v>
      </c>
    </row>
    <row r="32" spans="2:11" ht="20.100000000000001" customHeight="1" x14ac:dyDescent="0.25">
      <c r="B32" s="25" t="s">
        <v>43</v>
      </c>
      <c r="C32" s="3">
        <v>195</v>
      </c>
      <c r="D32" s="4">
        <v>24482.38</v>
      </c>
      <c r="E32" s="4">
        <f>D32/C32</f>
        <v>125.55066666666667</v>
      </c>
      <c r="F32" s="3">
        <f>IFERROR(C32*_xlfn.XLOOKUP(E32,$J$4:$J$11,$K$4:$K$11,0,-1),0)</f>
        <v>390</v>
      </c>
      <c r="G32" s="3" t="str">
        <f>IFERROR(VLOOKUP(F32,$J$14:$K$19,2,TRUE),"SEM PREMIAÇÃO")</f>
        <v>SEM PREMIAÇÃO</v>
      </c>
    </row>
    <row r="33" spans="2:7" ht="20.100000000000001" customHeight="1" x14ac:dyDescent="0.25">
      <c r="B33" s="25" t="s">
        <v>44</v>
      </c>
      <c r="C33" s="3">
        <v>129</v>
      </c>
      <c r="D33" s="4">
        <v>25145.61</v>
      </c>
      <c r="E33" s="4">
        <f>D33/C33</f>
        <v>194.92720930232559</v>
      </c>
      <c r="F33" s="3">
        <f>IFERROR(C33*_xlfn.XLOOKUP(E33,$J$4:$J$11,$K$4:$K$11,0,-1),0)</f>
        <v>387</v>
      </c>
      <c r="G33" s="3" t="str">
        <f>IFERROR(VLOOKUP(F33,$J$14:$K$19,2,TRUE),"SEM PREMIAÇÃO")</f>
        <v>SEM PREMIAÇÃO</v>
      </c>
    </row>
    <row r="34" spans="2:7" ht="20.100000000000001" customHeight="1" x14ac:dyDescent="0.25">
      <c r="B34" s="25" t="s">
        <v>49</v>
      </c>
      <c r="C34" s="3">
        <v>172</v>
      </c>
      <c r="D34" s="4">
        <v>25128.27</v>
      </c>
      <c r="E34" s="4">
        <f>D34/C34</f>
        <v>146.09459302325581</v>
      </c>
      <c r="F34" s="3">
        <f>IFERROR(C34*_xlfn.XLOOKUP(E34,$J$4:$J$11,$K$4:$K$11,0,-1),0)</f>
        <v>344</v>
      </c>
      <c r="G34" s="3" t="str">
        <f>IFERROR(VLOOKUP(F34,$J$14:$K$19,2,TRUE),"SEM PREMIAÇÃO")</f>
        <v>SEM PREMIAÇÃO</v>
      </c>
    </row>
    <row r="35" spans="2:7" ht="20.100000000000001" customHeight="1" x14ac:dyDescent="0.25">
      <c r="B35" s="25" t="s">
        <v>47</v>
      </c>
      <c r="C35" s="3">
        <v>167</v>
      </c>
      <c r="D35" s="4">
        <v>18940.580000000002</v>
      </c>
      <c r="E35" s="4">
        <f>D35/C35</f>
        <v>113.41664670658683</v>
      </c>
      <c r="F35" s="3">
        <f>IFERROR(C35*_xlfn.XLOOKUP(E35,$J$4:$J$11,$K$4:$K$11,0,-1),0)</f>
        <v>334</v>
      </c>
      <c r="G35" s="3" t="str">
        <f>IFERROR(VLOOKUP(F35,$J$14:$K$19,2,TRUE),"SEM PREMIAÇÃO")</f>
        <v>SEM PREMIAÇÃO</v>
      </c>
    </row>
    <row r="36" spans="2:7" ht="20.100000000000001" customHeight="1" x14ac:dyDescent="0.25">
      <c r="B36" s="25" t="s">
        <v>45</v>
      </c>
      <c r="C36" s="13">
        <v>330</v>
      </c>
      <c r="D36" s="4">
        <v>32195.21</v>
      </c>
      <c r="E36" s="4">
        <f>D36/C36</f>
        <v>97.561242424242423</v>
      </c>
      <c r="F36" s="3">
        <f>IFERROR(C36*_xlfn.XLOOKUP(E36,$J$4:$J$11,$K$4:$K$11,0,-1),0)</f>
        <v>330</v>
      </c>
      <c r="G36" s="3" t="str">
        <f>IFERROR(VLOOKUP(F36,$J$14:$K$19,2,TRUE),"SEM PREMIAÇÃO")</f>
        <v>SEM PREMIAÇÃO</v>
      </c>
    </row>
    <row r="37" spans="2:7" ht="20.100000000000001" customHeight="1" x14ac:dyDescent="0.25">
      <c r="B37" s="25" t="s">
        <v>51</v>
      </c>
      <c r="C37" s="3">
        <v>154</v>
      </c>
      <c r="D37" s="4">
        <v>21308.06</v>
      </c>
      <c r="E37" s="4">
        <f>D37/C37</f>
        <v>138.36402597402599</v>
      </c>
      <c r="F37" s="3">
        <f>IFERROR(C37*_xlfn.XLOOKUP(E37,$J$4:$J$11,$K$4:$K$11,0,-1),0)</f>
        <v>308</v>
      </c>
      <c r="G37" s="3" t="str">
        <f>IFERROR(VLOOKUP(F37,$J$14:$K$19,2,TRUE),"SEM PREMIAÇÃO")</f>
        <v>SEM PREMIAÇÃO</v>
      </c>
    </row>
    <row r="38" spans="2:7" ht="20.100000000000001" customHeight="1" x14ac:dyDescent="0.25">
      <c r="B38" s="25" t="s">
        <v>56</v>
      </c>
      <c r="C38" s="3">
        <v>96</v>
      </c>
      <c r="D38" s="4">
        <v>16255.36</v>
      </c>
      <c r="E38" s="4">
        <f>D38/C38</f>
        <v>169.32666666666668</v>
      </c>
      <c r="F38" s="3">
        <f>IFERROR(C38*_xlfn.XLOOKUP(E38,$J$4:$J$11,$K$4:$K$11,0,-1),0)</f>
        <v>288</v>
      </c>
      <c r="G38" s="3" t="str">
        <f>IFERROR(VLOOKUP(F38,$J$14:$K$19,2,TRUE),"SEM PREMIAÇÃO")</f>
        <v>SEM PREMIAÇÃO</v>
      </c>
    </row>
    <row r="39" spans="2:7" ht="20.100000000000001" customHeight="1" x14ac:dyDescent="0.25">
      <c r="B39" s="25" t="s">
        <v>62</v>
      </c>
      <c r="C39" s="3">
        <v>140</v>
      </c>
      <c r="D39" s="4">
        <v>18613.189999999999</v>
      </c>
      <c r="E39" s="4">
        <f>D39/C39</f>
        <v>132.95135714285712</v>
      </c>
      <c r="F39" s="3">
        <f>IFERROR(C39*_xlfn.XLOOKUP(E39,$J$4:$J$11,$K$4:$K$11,0,-1),0)</f>
        <v>280</v>
      </c>
      <c r="G39" s="3" t="str">
        <f>IFERROR(VLOOKUP(F39,$J$14:$K$19,2,TRUE),"SEM PREMIAÇÃO")</f>
        <v>SEM PREMIAÇÃO</v>
      </c>
    </row>
    <row r="40" spans="2:7" ht="20.100000000000001" customHeight="1" x14ac:dyDescent="0.25">
      <c r="B40" s="25" t="s">
        <v>50</v>
      </c>
      <c r="C40" s="3">
        <v>138</v>
      </c>
      <c r="D40" s="4">
        <v>15657.54</v>
      </c>
      <c r="E40" s="4">
        <f>D40/C40</f>
        <v>113.4604347826087</v>
      </c>
      <c r="F40" s="3">
        <f>IFERROR(C40*_xlfn.XLOOKUP(E40,$J$4:$J$11,$K$4:$K$11,0,-1),0)</f>
        <v>276</v>
      </c>
      <c r="G40" s="3" t="str">
        <f>IFERROR(VLOOKUP(F40,$J$14:$K$19,2,TRUE),"SEM PREMIAÇÃO")</f>
        <v>SEM PREMIAÇÃO</v>
      </c>
    </row>
    <row r="41" spans="2:7" ht="20.100000000000001" customHeight="1" x14ac:dyDescent="0.25">
      <c r="B41" s="25" t="s">
        <v>53</v>
      </c>
      <c r="C41" s="3">
        <v>86</v>
      </c>
      <c r="D41" s="4">
        <v>13574.93</v>
      </c>
      <c r="E41" s="4">
        <f>D41/C41</f>
        <v>157.84802325581396</v>
      </c>
      <c r="F41" s="3">
        <f>IFERROR(C41*_xlfn.XLOOKUP(E41,$J$4:$J$11,$K$4:$K$11,0,-1),0)</f>
        <v>258</v>
      </c>
      <c r="G41" s="3" t="str">
        <f>IFERROR(VLOOKUP(F41,$J$14:$K$19,2,TRUE),"SEM PREMIAÇÃO")</f>
        <v>SEM PREMIAÇÃO</v>
      </c>
    </row>
    <row r="42" spans="2:7" ht="20.100000000000001" customHeight="1" x14ac:dyDescent="0.25">
      <c r="B42" s="25" t="s">
        <v>52</v>
      </c>
      <c r="C42" s="3">
        <v>55</v>
      </c>
      <c r="D42" s="4">
        <v>11739.17</v>
      </c>
      <c r="E42" s="4">
        <f>D42/C42</f>
        <v>213.43945454545454</v>
      </c>
      <c r="F42" s="3">
        <f>IFERROR(C42*_xlfn.XLOOKUP(E42,$J$4:$J$11,$K$4:$K$11,0,-1),0)</f>
        <v>220</v>
      </c>
      <c r="G42" s="3" t="str">
        <f>IFERROR(VLOOKUP(F42,$J$14:$K$19,2,TRUE),"SEM PREMIAÇÃO")</f>
        <v>SEM PREMIAÇÃO</v>
      </c>
    </row>
    <row r="43" spans="2:7" ht="20.100000000000001" customHeight="1" x14ac:dyDescent="0.25">
      <c r="B43" s="25" t="s">
        <v>55</v>
      </c>
      <c r="C43" s="3">
        <v>107</v>
      </c>
      <c r="D43" s="4">
        <v>13811</v>
      </c>
      <c r="E43" s="4">
        <f>D43/C43</f>
        <v>129.07476635514018</v>
      </c>
      <c r="F43" s="3">
        <f>IFERROR(C43*_xlfn.XLOOKUP(E43,$J$4:$J$11,$K$4:$K$11,0,-1),0)</f>
        <v>214</v>
      </c>
      <c r="G43" s="3" t="str">
        <f>IFERROR(VLOOKUP(F43,$J$14:$K$19,2,TRUE),"SEM PREMIAÇÃO")</f>
        <v>SEM PREMIAÇÃO</v>
      </c>
    </row>
    <row r="44" spans="2:7" ht="20.100000000000001" customHeight="1" x14ac:dyDescent="0.25">
      <c r="B44" s="25" t="s">
        <v>48</v>
      </c>
      <c r="C44" s="3">
        <v>97</v>
      </c>
      <c r="D44" s="4">
        <v>14314.6</v>
      </c>
      <c r="E44" s="4">
        <f>D44/C44</f>
        <v>147.57319587628865</v>
      </c>
      <c r="F44" s="3">
        <f>IFERROR(C44*_xlfn.XLOOKUP(E44,$J$4:$J$11,$K$4:$K$11,0,-1),0)</f>
        <v>194</v>
      </c>
      <c r="G44" s="3" t="str">
        <f>IFERROR(VLOOKUP(F44,$J$14:$K$19,2,TRUE),"SEM PREMIAÇÃO")</f>
        <v>SEM PREMIAÇÃO</v>
      </c>
    </row>
    <row r="45" spans="2:7" ht="20.100000000000001" customHeight="1" x14ac:dyDescent="0.25">
      <c r="B45" s="25" t="s">
        <v>54</v>
      </c>
      <c r="C45" s="3">
        <v>55</v>
      </c>
      <c r="D45" s="4">
        <v>10290.209999999999</v>
      </c>
      <c r="E45" s="4">
        <f>D45/C45</f>
        <v>187.09472727272725</v>
      </c>
      <c r="F45" s="3">
        <f>IFERROR(C45*_xlfn.XLOOKUP(E45,$J$4:$J$11,$K$4:$K$11,0,-1),0)</f>
        <v>165</v>
      </c>
      <c r="G45" s="3" t="str">
        <f>IFERROR(VLOOKUP(F45,$J$14:$K$19,2,TRUE),"SEM PREMIAÇÃO")</f>
        <v>SEM PREMIAÇÃO</v>
      </c>
    </row>
    <row r="46" spans="2:7" ht="20.100000000000001" customHeight="1" x14ac:dyDescent="0.25">
      <c r="B46" s="25" t="s">
        <v>57</v>
      </c>
      <c r="C46" s="3">
        <v>54</v>
      </c>
      <c r="D46" s="4">
        <v>8215.7000000000007</v>
      </c>
      <c r="E46" s="4">
        <f>D46/C46</f>
        <v>152.14259259259259</v>
      </c>
      <c r="F46" s="3">
        <f>IFERROR(C46*_xlfn.XLOOKUP(E46,$J$4:$J$11,$K$4:$K$11,0,-1),0)</f>
        <v>162</v>
      </c>
      <c r="G46" s="3" t="str">
        <f>IFERROR(VLOOKUP(F46,$J$14:$K$19,2,TRUE),"SEM PREMIAÇÃO")</f>
        <v>SEM PREMIAÇÃO</v>
      </c>
    </row>
    <row r="47" spans="2:7" ht="20.100000000000001" customHeight="1" x14ac:dyDescent="0.25">
      <c r="B47" s="25" t="s">
        <v>58</v>
      </c>
      <c r="C47" s="3">
        <v>74</v>
      </c>
      <c r="D47" s="4">
        <v>8881.91</v>
      </c>
      <c r="E47" s="4">
        <f>D47/C47</f>
        <v>120.02581081081081</v>
      </c>
      <c r="F47" s="3">
        <f>IFERROR(C47*_xlfn.XLOOKUP(E47,$J$4:$J$11,$K$4:$K$11,0,-1),0)</f>
        <v>148</v>
      </c>
      <c r="G47" s="3" t="str">
        <f>IFERROR(VLOOKUP(F47,$J$14:$K$19,2,TRUE),"SEM PREMIAÇÃO")</f>
        <v>SEM PREMIAÇÃO</v>
      </c>
    </row>
    <row r="48" spans="2:7" ht="20.100000000000001" customHeight="1" x14ac:dyDescent="0.25">
      <c r="B48" s="25" t="s">
        <v>59</v>
      </c>
      <c r="C48" s="3">
        <v>61</v>
      </c>
      <c r="D48" s="4">
        <v>8522.39</v>
      </c>
      <c r="E48" s="4">
        <f>D48/C48</f>
        <v>139.71131147540981</v>
      </c>
      <c r="F48" s="3">
        <f>IFERROR(C48*_xlfn.XLOOKUP(E48,$J$4:$J$11,$K$4:$K$11,0,-1),0)</f>
        <v>122</v>
      </c>
      <c r="G48" s="3" t="str">
        <f>IFERROR(VLOOKUP(F48,$J$14:$K$19,2,TRUE),"SEM PREMIAÇÃO")</f>
        <v>SEM PREMIAÇÃO</v>
      </c>
    </row>
    <row r="49" spans="2:7" ht="20.100000000000001" customHeight="1" x14ac:dyDescent="0.25">
      <c r="B49" s="25" t="s">
        <v>61</v>
      </c>
      <c r="C49" s="3">
        <v>29</v>
      </c>
      <c r="D49" s="4">
        <v>5748.64</v>
      </c>
      <c r="E49" s="4">
        <f>D49/C49</f>
        <v>198.22896551724139</v>
      </c>
      <c r="F49" s="3">
        <f>IFERROR(C49*_xlfn.XLOOKUP(E49,$J$4:$J$11,$K$4:$K$11,0,-1),0)</f>
        <v>87</v>
      </c>
      <c r="G49" s="3" t="str">
        <f>IFERROR(VLOOKUP(F49,$J$14:$K$19,2,TRUE),"SEM PREMIAÇÃO")</f>
        <v>SEM PREMIAÇÃO</v>
      </c>
    </row>
    <row r="50" spans="2:7" ht="20.100000000000001" customHeight="1" x14ac:dyDescent="0.25">
      <c r="B50" s="25" t="s">
        <v>60</v>
      </c>
      <c r="C50" s="3">
        <v>14</v>
      </c>
      <c r="D50" s="4">
        <v>2125.1799999999998</v>
      </c>
      <c r="E50" s="4">
        <f>D50/C50</f>
        <v>151.79857142857142</v>
      </c>
      <c r="F50" s="3">
        <f>IFERROR(C50*_xlfn.XLOOKUP(E50,$J$4:$J$11,$K$4:$K$11,0,-1),0)</f>
        <v>42</v>
      </c>
      <c r="G50" s="3" t="str">
        <f>IFERROR(VLOOKUP(F50,$J$14:$K$19,2,TRUE),"SEM PREMIAÇÃO")</f>
        <v>SEM PREMIAÇÃO</v>
      </c>
    </row>
    <row r="51" spans="2:7" ht="20.100000000000001" customHeight="1" x14ac:dyDescent="0.25">
      <c r="B51" s="26"/>
    </row>
  </sheetData>
  <autoFilter ref="B2:G50" xr:uid="{F81890AE-5365-4E3B-B390-06ADCB53DF38}">
    <sortState xmlns:xlrd2="http://schemas.microsoft.com/office/spreadsheetml/2017/richdata2" ref="B3:G50">
      <sortCondition descending="1" ref="F2:F50"/>
    </sortState>
  </autoFilter>
  <mergeCells count="2">
    <mergeCell ref="M2:S2"/>
    <mergeCell ref="J2:K2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DAC3-881B-46BE-97DD-BFF865CF4991}">
  <dimension ref="B2:S1085"/>
  <sheetViews>
    <sheetView showGridLines="0" zoomScaleNormal="100" workbookViewId="0">
      <selection activeCell="E233" sqref="E233"/>
    </sheetView>
  </sheetViews>
  <sheetFormatPr defaultRowHeight="20.100000000000001" customHeight="1" x14ac:dyDescent="0.25"/>
  <cols>
    <col min="1" max="1" width="9.140625" style="2"/>
    <col min="2" max="2" width="31.28515625" style="2" customWidth="1"/>
    <col min="3" max="3" width="23.5703125" style="2" customWidth="1"/>
    <col min="4" max="4" width="22.5703125" style="7" customWidth="1"/>
    <col min="5" max="5" width="19.7109375" style="2" customWidth="1"/>
    <col min="6" max="6" width="21.42578125" style="2" customWidth="1"/>
    <col min="7" max="7" width="32.140625" style="2" customWidth="1"/>
    <col min="8" max="9" width="9.140625" style="2"/>
    <col min="10" max="10" width="20" style="2" customWidth="1"/>
    <col min="11" max="11" width="37.28515625" style="2" customWidth="1"/>
    <col min="12" max="16384" width="9.140625" style="2"/>
  </cols>
  <sheetData>
    <row r="2" spans="2:19" ht="20.100000000000001" customHeight="1" x14ac:dyDescent="0.25">
      <c r="B2" s="19" t="s">
        <v>63</v>
      </c>
      <c r="C2" s="19" t="s">
        <v>1</v>
      </c>
      <c r="D2" s="1" t="s">
        <v>2</v>
      </c>
      <c r="E2" s="19" t="s">
        <v>3</v>
      </c>
      <c r="F2" s="19" t="s">
        <v>4</v>
      </c>
      <c r="G2" s="19" t="s">
        <v>5</v>
      </c>
      <c r="J2" s="30" t="s">
        <v>6</v>
      </c>
      <c r="K2" s="30"/>
      <c r="M2" s="29"/>
      <c r="N2" s="29"/>
      <c r="O2" s="29"/>
      <c r="P2" s="29"/>
      <c r="Q2" s="29"/>
      <c r="R2" s="29"/>
      <c r="S2" s="29"/>
    </row>
    <row r="3" spans="2:19" ht="20.100000000000001" customHeight="1" x14ac:dyDescent="0.25">
      <c r="B3" s="14" t="s">
        <v>64</v>
      </c>
      <c r="C3" s="15">
        <v>322</v>
      </c>
      <c r="D3" s="16">
        <v>50642.879999999997</v>
      </c>
      <c r="E3" s="17">
        <f>D3/C3</f>
        <v>157.2760248447205</v>
      </c>
      <c r="F3" s="18">
        <f>IFERROR(C3*_xlfn.XLOOKUP(E3,$J$4:$J$13,$K$4:$K$13,0,-1),0)</f>
        <v>966</v>
      </c>
      <c r="G3" s="18" t="str">
        <f>IFERROR(VLOOKUP(F3,$J$16:$K$19,2,TRUE),"SEM PREMIAÇÃO")</f>
        <v>iPad + Apple Watch</v>
      </c>
      <c r="J3" s="19" t="s">
        <v>3</v>
      </c>
      <c r="K3" s="19" t="s">
        <v>8</v>
      </c>
    </row>
    <row r="4" spans="2:19" ht="20.100000000000001" customHeight="1" x14ac:dyDescent="0.25">
      <c r="B4" s="14" t="s">
        <v>65</v>
      </c>
      <c r="C4" s="15">
        <v>311</v>
      </c>
      <c r="D4" s="16">
        <v>35606.83</v>
      </c>
      <c r="E4" s="17">
        <f t="shared" ref="E4:E67" si="0">D4/C4</f>
        <v>114.49141479099679</v>
      </c>
      <c r="F4" s="18">
        <f t="shared" ref="F4:F67" si="1">IFERROR(C4*_xlfn.XLOOKUP(E4,$J$4:$J$13,$K$4:$K$13,0,-1),0)</f>
        <v>622</v>
      </c>
      <c r="G4" s="18" t="str">
        <f t="shared" ref="G4:G67" si="2">IFERROR(VLOOKUP(F4,$J$16:$K$19,2,TRUE),"SEM PREMIAÇÃO")</f>
        <v>iPad + Apple Watch</v>
      </c>
      <c r="J4" s="5">
        <v>500</v>
      </c>
      <c r="K4" s="6">
        <v>10</v>
      </c>
    </row>
    <row r="5" spans="2:19" ht="20.100000000000001" customHeight="1" x14ac:dyDescent="0.25">
      <c r="B5" s="14" t="s">
        <v>66</v>
      </c>
      <c r="C5" s="15">
        <v>250</v>
      </c>
      <c r="D5" s="16">
        <v>35912.199999999997</v>
      </c>
      <c r="E5" s="17">
        <f t="shared" si="0"/>
        <v>143.64879999999999</v>
      </c>
      <c r="F5" s="18">
        <f t="shared" si="1"/>
        <v>500</v>
      </c>
      <c r="G5" s="18" t="str">
        <f t="shared" si="2"/>
        <v>Apple Watch</v>
      </c>
      <c r="J5" s="5">
        <v>450</v>
      </c>
      <c r="K5" s="6">
        <v>9</v>
      </c>
    </row>
    <row r="6" spans="2:19" ht="20.100000000000001" customHeight="1" x14ac:dyDescent="0.25">
      <c r="B6" s="14" t="s">
        <v>67</v>
      </c>
      <c r="C6" s="15">
        <v>198</v>
      </c>
      <c r="D6" s="16">
        <v>25957.1</v>
      </c>
      <c r="E6" s="17">
        <f t="shared" si="0"/>
        <v>131.09646464646463</v>
      </c>
      <c r="F6" s="18">
        <f t="shared" si="1"/>
        <v>396</v>
      </c>
      <c r="G6" s="18" t="str">
        <f t="shared" si="2"/>
        <v>Apple Watch</v>
      </c>
      <c r="J6" s="5">
        <v>400</v>
      </c>
      <c r="K6" s="6">
        <v>8</v>
      </c>
    </row>
    <row r="7" spans="2:19" ht="20.100000000000001" customHeight="1" x14ac:dyDescent="0.25">
      <c r="B7" s="14" t="s">
        <v>68</v>
      </c>
      <c r="C7" s="15">
        <v>177</v>
      </c>
      <c r="D7" s="16">
        <v>25957.11</v>
      </c>
      <c r="E7" s="17">
        <f t="shared" si="0"/>
        <v>146.65033898305086</v>
      </c>
      <c r="F7" s="18">
        <f t="shared" si="1"/>
        <v>354</v>
      </c>
      <c r="G7" s="18" t="str">
        <f t="shared" si="2"/>
        <v>Apple Watch</v>
      </c>
      <c r="J7" s="5">
        <v>350</v>
      </c>
      <c r="K7" s="6">
        <v>7</v>
      </c>
    </row>
    <row r="8" spans="2:19" ht="20.100000000000001" customHeight="1" x14ac:dyDescent="0.25">
      <c r="B8" s="14" t="s">
        <v>69</v>
      </c>
      <c r="C8" s="15">
        <v>155</v>
      </c>
      <c r="D8" s="16">
        <v>25253.16</v>
      </c>
      <c r="E8" s="17">
        <f t="shared" si="0"/>
        <v>162.9236129032258</v>
      </c>
      <c r="F8" s="18">
        <f t="shared" si="1"/>
        <v>465</v>
      </c>
      <c r="G8" s="18" t="str">
        <f t="shared" si="2"/>
        <v>Apple Watch</v>
      </c>
      <c r="J8" s="5">
        <v>300</v>
      </c>
      <c r="K8" s="6">
        <v>6</v>
      </c>
    </row>
    <row r="9" spans="2:19" ht="20.100000000000001" customHeight="1" x14ac:dyDescent="0.25">
      <c r="B9" s="14" t="s">
        <v>70</v>
      </c>
      <c r="C9" s="15">
        <v>149</v>
      </c>
      <c r="D9" s="16">
        <v>16879.57</v>
      </c>
      <c r="E9" s="17">
        <f t="shared" si="0"/>
        <v>113.28570469798657</v>
      </c>
      <c r="F9" s="18">
        <f t="shared" si="1"/>
        <v>298</v>
      </c>
      <c r="G9" s="18" t="str">
        <f t="shared" si="2"/>
        <v>Sem premiação</v>
      </c>
      <c r="J9" s="5">
        <v>250</v>
      </c>
      <c r="K9" s="6">
        <v>5</v>
      </c>
    </row>
    <row r="10" spans="2:19" ht="20.100000000000001" customHeight="1" x14ac:dyDescent="0.25">
      <c r="B10" s="14" t="s">
        <v>71</v>
      </c>
      <c r="C10" s="15">
        <v>145</v>
      </c>
      <c r="D10" s="16">
        <v>31139.93</v>
      </c>
      <c r="E10" s="17">
        <f t="shared" si="0"/>
        <v>214.7581379310345</v>
      </c>
      <c r="F10" s="18">
        <f t="shared" si="1"/>
        <v>580</v>
      </c>
      <c r="G10" s="18" t="str">
        <f t="shared" si="2"/>
        <v>Apple Watch</v>
      </c>
      <c r="J10" s="5">
        <v>200</v>
      </c>
      <c r="K10" s="6">
        <v>4</v>
      </c>
    </row>
    <row r="11" spans="2:19" ht="20.100000000000001" customHeight="1" x14ac:dyDescent="0.25">
      <c r="B11" s="14" t="s">
        <v>72</v>
      </c>
      <c r="C11" s="15">
        <v>145</v>
      </c>
      <c r="D11" s="16">
        <v>19520.68</v>
      </c>
      <c r="E11" s="17">
        <f t="shared" si="0"/>
        <v>134.62537931034484</v>
      </c>
      <c r="F11" s="18">
        <f t="shared" si="1"/>
        <v>290</v>
      </c>
      <c r="G11" s="18" t="str">
        <f t="shared" si="2"/>
        <v>Sem premiação</v>
      </c>
      <c r="J11" s="5">
        <v>150</v>
      </c>
      <c r="K11" s="6">
        <v>3</v>
      </c>
    </row>
    <row r="12" spans="2:19" ht="20.100000000000001" customHeight="1" x14ac:dyDescent="0.25">
      <c r="B12" s="14" t="s">
        <v>73</v>
      </c>
      <c r="C12" s="15">
        <v>142</v>
      </c>
      <c r="D12" s="16">
        <v>18993.830000000002</v>
      </c>
      <c r="E12" s="17">
        <f t="shared" si="0"/>
        <v>133.75936619718311</v>
      </c>
      <c r="F12" s="18">
        <f t="shared" si="1"/>
        <v>284</v>
      </c>
      <c r="G12" s="18" t="str">
        <f t="shared" si="2"/>
        <v>Sem premiação</v>
      </c>
      <c r="J12" s="5">
        <v>100</v>
      </c>
      <c r="K12" s="6">
        <v>2</v>
      </c>
    </row>
    <row r="13" spans="2:19" ht="20.100000000000001" customHeight="1" x14ac:dyDescent="0.25">
      <c r="B13" s="14" t="s">
        <v>74</v>
      </c>
      <c r="C13" s="15">
        <v>141</v>
      </c>
      <c r="D13" s="16">
        <v>15511.76</v>
      </c>
      <c r="E13" s="17">
        <f t="shared" si="0"/>
        <v>110.01248226950355</v>
      </c>
      <c r="F13" s="18">
        <f t="shared" si="1"/>
        <v>282</v>
      </c>
      <c r="G13" s="18" t="str">
        <f t="shared" si="2"/>
        <v>Sem premiação</v>
      </c>
      <c r="J13" s="5">
        <v>50</v>
      </c>
      <c r="K13" s="6">
        <v>1</v>
      </c>
    </row>
    <row r="14" spans="2:19" ht="20.100000000000001" customHeight="1" x14ac:dyDescent="0.25">
      <c r="B14" s="14" t="s">
        <v>75</v>
      </c>
      <c r="C14" s="15">
        <v>139</v>
      </c>
      <c r="D14" s="16">
        <v>19463.78</v>
      </c>
      <c r="E14" s="17">
        <f t="shared" si="0"/>
        <v>140.02719424460432</v>
      </c>
      <c r="F14" s="18">
        <f t="shared" si="1"/>
        <v>278</v>
      </c>
      <c r="G14" s="18" t="str">
        <f t="shared" si="2"/>
        <v>Sem premiação</v>
      </c>
    </row>
    <row r="15" spans="2:19" ht="20.100000000000001" customHeight="1" x14ac:dyDescent="0.25">
      <c r="B15" s="14" t="s">
        <v>76</v>
      </c>
      <c r="C15" s="15">
        <v>138</v>
      </c>
      <c r="D15" s="16">
        <v>23426.18</v>
      </c>
      <c r="E15" s="17">
        <f t="shared" si="0"/>
        <v>169.75492753623189</v>
      </c>
      <c r="F15" s="18">
        <f t="shared" si="1"/>
        <v>414</v>
      </c>
      <c r="G15" s="18" t="str">
        <f t="shared" si="2"/>
        <v>Apple Watch</v>
      </c>
      <c r="J15" s="12" t="s">
        <v>77</v>
      </c>
      <c r="K15" s="12" t="s">
        <v>78</v>
      </c>
    </row>
    <row r="16" spans="2:19" ht="20.100000000000001" customHeight="1" x14ac:dyDescent="0.25">
      <c r="B16" s="14" t="s">
        <v>79</v>
      </c>
      <c r="C16" s="15">
        <v>136</v>
      </c>
      <c r="D16" s="16">
        <v>12299.72</v>
      </c>
      <c r="E16" s="17">
        <f t="shared" si="0"/>
        <v>90.439117647058822</v>
      </c>
      <c r="F16" s="18">
        <f t="shared" si="1"/>
        <v>136</v>
      </c>
      <c r="G16" s="18" t="str">
        <f t="shared" si="2"/>
        <v>Sem premiação</v>
      </c>
      <c r="J16" s="11">
        <v>0</v>
      </c>
      <c r="K16" s="11" t="s">
        <v>80</v>
      </c>
    </row>
    <row r="17" spans="2:11" ht="20.100000000000001" customHeight="1" x14ac:dyDescent="0.25">
      <c r="B17" s="14" t="s">
        <v>81</v>
      </c>
      <c r="C17" s="15">
        <v>136</v>
      </c>
      <c r="D17" s="16">
        <v>17111.55</v>
      </c>
      <c r="E17" s="17">
        <f t="shared" si="0"/>
        <v>125.82022058823529</v>
      </c>
      <c r="F17" s="18">
        <f t="shared" si="1"/>
        <v>272</v>
      </c>
      <c r="G17" s="18" t="str">
        <f t="shared" si="2"/>
        <v>Sem premiação</v>
      </c>
      <c r="J17" s="11">
        <v>300</v>
      </c>
      <c r="K17" s="11" t="s">
        <v>82</v>
      </c>
    </row>
    <row r="18" spans="2:11" ht="20.100000000000001" customHeight="1" x14ac:dyDescent="0.25">
      <c r="B18" s="14" t="s">
        <v>83</v>
      </c>
      <c r="C18" s="15">
        <v>133</v>
      </c>
      <c r="D18" s="16">
        <v>13963.54</v>
      </c>
      <c r="E18" s="17">
        <f t="shared" si="0"/>
        <v>104.98902255639098</v>
      </c>
      <c r="F18" s="18">
        <f t="shared" si="1"/>
        <v>266</v>
      </c>
      <c r="G18" s="18" t="str">
        <f t="shared" si="2"/>
        <v>Sem premiação</v>
      </c>
      <c r="J18" s="11">
        <v>600</v>
      </c>
      <c r="K18" s="11" t="s">
        <v>84</v>
      </c>
    </row>
    <row r="19" spans="2:11" ht="20.100000000000001" customHeight="1" x14ac:dyDescent="0.25">
      <c r="B19" s="14" t="s">
        <v>85</v>
      </c>
      <c r="C19" s="15">
        <v>130</v>
      </c>
      <c r="D19" s="16">
        <v>20119.84</v>
      </c>
      <c r="E19" s="17">
        <f t="shared" si="0"/>
        <v>154.768</v>
      </c>
      <c r="F19" s="18">
        <f t="shared" si="1"/>
        <v>390</v>
      </c>
      <c r="G19" s="18" t="str">
        <f t="shared" si="2"/>
        <v>Apple Watch</v>
      </c>
      <c r="J19" s="11">
        <v>1200</v>
      </c>
      <c r="K19" s="11" t="s">
        <v>86</v>
      </c>
    </row>
    <row r="20" spans="2:11" ht="20.100000000000001" customHeight="1" x14ac:dyDescent="0.25">
      <c r="B20" s="14" t="s">
        <v>87</v>
      </c>
      <c r="C20" s="15">
        <v>130</v>
      </c>
      <c r="D20" s="16">
        <v>21909.040000000001</v>
      </c>
      <c r="E20" s="17">
        <f t="shared" si="0"/>
        <v>168.53107692307694</v>
      </c>
      <c r="F20" s="18">
        <f t="shared" si="1"/>
        <v>390</v>
      </c>
      <c r="G20" s="18" t="str">
        <f t="shared" si="2"/>
        <v>Apple Watch</v>
      </c>
    </row>
    <row r="21" spans="2:11" ht="20.100000000000001" customHeight="1" x14ac:dyDescent="0.25">
      <c r="B21" s="14" t="s">
        <v>88</v>
      </c>
      <c r="C21" s="15">
        <v>125</v>
      </c>
      <c r="D21" s="16">
        <v>26185.13</v>
      </c>
      <c r="E21" s="17">
        <f t="shared" si="0"/>
        <v>209.48104000000001</v>
      </c>
      <c r="F21" s="18">
        <f t="shared" si="1"/>
        <v>500</v>
      </c>
      <c r="G21" s="18" t="str">
        <f t="shared" si="2"/>
        <v>Apple Watch</v>
      </c>
    </row>
    <row r="22" spans="2:11" ht="20.100000000000001" customHeight="1" x14ac:dyDescent="0.25">
      <c r="B22" s="14" t="s">
        <v>89</v>
      </c>
      <c r="C22" s="15">
        <v>124</v>
      </c>
      <c r="D22" s="16">
        <v>10715.05</v>
      </c>
      <c r="E22" s="17">
        <f t="shared" si="0"/>
        <v>86.411693548387092</v>
      </c>
      <c r="F22" s="18">
        <f t="shared" si="1"/>
        <v>124</v>
      </c>
      <c r="G22" s="18" t="str">
        <f t="shared" si="2"/>
        <v>Sem premiação</v>
      </c>
    </row>
    <row r="23" spans="2:11" ht="20.100000000000001" customHeight="1" x14ac:dyDescent="0.25">
      <c r="B23" s="14" t="s">
        <v>90</v>
      </c>
      <c r="C23" s="15">
        <v>123</v>
      </c>
      <c r="D23" s="16">
        <v>20340.080000000002</v>
      </c>
      <c r="E23" s="17">
        <f t="shared" si="0"/>
        <v>165.36650406504066</v>
      </c>
      <c r="F23" s="18">
        <f t="shared" si="1"/>
        <v>369</v>
      </c>
      <c r="G23" s="18" t="str">
        <f t="shared" si="2"/>
        <v>Apple Watch</v>
      </c>
    </row>
    <row r="24" spans="2:11" ht="20.100000000000001" customHeight="1" x14ac:dyDescent="0.25">
      <c r="B24" s="14" t="s">
        <v>91</v>
      </c>
      <c r="C24" s="15">
        <v>122</v>
      </c>
      <c r="D24" s="16">
        <v>15796.81</v>
      </c>
      <c r="E24" s="17">
        <f t="shared" si="0"/>
        <v>129.48204918032786</v>
      </c>
      <c r="F24" s="18">
        <f t="shared" si="1"/>
        <v>244</v>
      </c>
      <c r="G24" s="18" t="str">
        <f t="shared" si="2"/>
        <v>Sem premiação</v>
      </c>
    </row>
    <row r="25" spans="2:11" ht="20.100000000000001" customHeight="1" x14ac:dyDescent="0.25">
      <c r="B25" s="14" t="s">
        <v>92</v>
      </c>
      <c r="C25" s="15">
        <v>121</v>
      </c>
      <c r="D25" s="16">
        <v>16795.98</v>
      </c>
      <c r="E25" s="17">
        <f t="shared" si="0"/>
        <v>138.80975206611569</v>
      </c>
      <c r="F25" s="18">
        <f t="shared" si="1"/>
        <v>242</v>
      </c>
      <c r="G25" s="18" t="str">
        <f t="shared" si="2"/>
        <v>Sem premiação</v>
      </c>
    </row>
    <row r="26" spans="2:11" ht="20.100000000000001" customHeight="1" x14ac:dyDescent="0.25">
      <c r="B26" s="14" t="s">
        <v>52</v>
      </c>
      <c r="C26" s="15">
        <v>121</v>
      </c>
      <c r="D26" s="16">
        <v>24616.55</v>
      </c>
      <c r="E26" s="17">
        <f t="shared" si="0"/>
        <v>203.44256198347108</v>
      </c>
      <c r="F26" s="18">
        <f t="shared" si="1"/>
        <v>484</v>
      </c>
      <c r="G26" s="18" t="str">
        <f t="shared" si="2"/>
        <v>Apple Watch</v>
      </c>
    </row>
    <row r="27" spans="2:11" ht="20.100000000000001" customHeight="1" x14ac:dyDescent="0.25">
      <c r="B27" s="14" t="s">
        <v>93</v>
      </c>
      <c r="C27" s="15">
        <v>120</v>
      </c>
      <c r="D27" s="16">
        <v>17276.68</v>
      </c>
      <c r="E27" s="17">
        <f t="shared" si="0"/>
        <v>143.97233333333332</v>
      </c>
      <c r="F27" s="18">
        <f t="shared" si="1"/>
        <v>240</v>
      </c>
      <c r="G27" s="18" t="str">
        <f t="shared" si="2"/>
        <v>Sem premiação</v>
      </c>
    </row>
    <row r="28" spans="2:11" ht="20.100000000000001" customHeight="1" x14ac:dyDescent="0.25">
      <c r="B28" s="14" t="s">
        <v>94</v>
      </c>
      <c r="C28" s="15">
        <v>117</v>
      </c>
      <c r="D28" s="16">
        <v>10453.07</v>
      </c>
      <c r="E28" s="17">
        <f t="shared" si="0"/>
        <v>89.342478632478631</v>
      </c>
      <c r="F28" s="18">
        <f t="shared" si="1"/>
        <v>117</v>
      </c>
      <c r="G28" s="18" t="str">
        <f t="shared" si="2"/>
        <v>Sem premiação</v>
      </c>
    </row>
    <row r="29" spans="2:11" ht="20.100000000000001" customHeight="1" x14ac:dyDescent="0.25">
      <c r="B29" s="14" t="s">
        <v>95</v>
      </c>
      <c r="C29" s="15">
        <v>116</v>
      </c>
      <c r="D29" s="16">
        <v>11012.58</v>
      </c>
      <c r="E29" s="17">
        <f t="shared" si="0"/>
        <v>94.936034482758615</v>
      </c>
      <c r="F29" s="18">
        <f t="shared" si="1"/>
        <v>116</v>
      </c>
      <c r="G29" s="18" t="str">
        <f t="shared" si="2"/>
        <v>Sem premiação</v>
      </c>
    </row>
    <row r="30" spans="2:11" ht="20.100000000000001" customHeight="1" x14ac:dyDescent="0.25">
      <c r="B30" s="14" t="s">
        <v>96</v>
      </c>
      <c r="C30" s="15">
        <v>114</v>
      </c>
      <c r="D30" s="16">
        <v>19369.22</v>
      </c>
      <c r="E30" s="17">
        <f t="shared" si="0"/>
        <v>169.90543859649125</v>
      </c>
      <c r="F30" s="18">
        <f t="shared" si="1"/>
        <v>342</v>
      </c>
      <c r="G30" s="18" t="str">
        <f t="shared" si="2"/>
        <v>Apple Watch</v>
      </c>
    </row>
    <row r="31" spans="2:11" ht="20.100000000000001" customHeight="1" x14ac:dyDescent="0.25">
      <c r="B31" s="14" t="s">
        <v>97</v>
      </c>
      <c r="C31" s="15">
        <v>113</v>
      </c>
      <c r="D31" s="16">
        <v>19871.09</v>
      </c>
      <c r="E31" s="17">
        <f t="shared" si="0"/>
        <v>175.85035398230087</v>
      </c>
      <c r="F31" s="18">
        <f t="shared" si="1"/>
        <v>339</v>
      </c>
      <c r="G31" s="18" t="str">
        <f t="shared" si="2"/>
        <v>Apple Watch</v>
      </c>
    </row>
    <row r="32" spans="2:11" ht="20.100000000000001" customHeight="1" x14ac:dyDescent="0.25">
      <c r="B32" s="14" t="s">
        <v>98</v>
      </c>
      <c r="C32" s="15">
        <v>110</v>
      </c>
      <c r="D32" s="16">
        <v>12648.1</v>
      </c>
      <c r="E32" s="17">
        <f t="shared" si="0"/>
        <v>114.98272727272727</v>
      </c>
      <c r="F32" s="18">
        <f t="shared" si="1"/>
        <v>220</v>
      </c>
      <c r="G32" s="18" t="str">
        <f t="shared" si="2"/>
        <v>Sem premiação</v>
      </c>
    </row>
    <row r="33" spans="2:7" ht="20.100000000000001" customHeight="1" x14ac:dyDescent="0.25">
      <c r="B33" s="14" t="s">
        <v>99</v>
      </c>
      <c r="C33" s="15">
        <v>110</v>
      </c>
      <c r="D33" s="16">
        <v>14894.85</v>
      </c>
      <c r="E33" s="17">
        <f t="shared" si="0"/>
        <v>135.40772727272727</v>
      </c>
      <c r="F33" s="18">
        <f t="shared" si="1"/>
        <v>220</v>
      </c>
      <c r="G33" s="18" t="str">
        <f t="shared" si="2"/>
        <v>Sem premiação</v>
      </c>
    </row>
    <row r="34" spans="2:7" ht="20.100000000000001" customHeight="1" x14ac:dyDescent="0.25">
      <c r="B34" s="14" t="s">
        <v>100</v>
      </c>
      <c r="C34" s="15">
        <v>110</v>
      </c>
      <c r="D34" s="16">
        <v>16781.61</v>
      </c>
      <c r="E34" s="17">
        <f t="shared" si="0"/>
        <v>152.56009090909092</v>
      </c>
      <c r="F34" s="18">
        <f t="shared" si="1"/>
        <v>330</v>
      </c>
      <c r="G34" s="18" t="str">
        <f t="shared" si="2"/>
        <v>Apple Watch</v>
      </c>
    </row>
    <row r="35" spans="2:7" ht="20.100000000000001" customHeight="1" x14ac:dyDescent="0.25">
      <c r="B35" s="14" t="s">
        <v>101</v>
      </c>
      <c r="C35" s="15">
        <v>109</v>
      </c>
      <c r="D35" s="16">
        <v>11012.23</v>
      </c>
      <c r="E35" s="17">
        <f t="shared" si="0"/>
        <v>101.02963302752293</v>
      </c>
      <c r="F35" s="18">
        <f t="shared" si="1"/>
        <v>218</v>
      </c>
      <c r="G35" s="18" t="str">
        <f t="shared" si="2"/>
        <v>Sem premiação</v>
      </c>
    </row>
    <row r="36" spans="2:7" ht="20.100000000000001" customHeight="1" x14ac:dyDescent="0.25">
      <c r="B36" s="14" t="s">
        <v>102</v>
      </c>
      <c r="C36" s="15">
        <v>109</v>
      </c>
      <c r="D36" s="16">
        <v>15982.76</v>
      </c>
      <c r="E36" s="17">
        <f t="shared" si="0"/>
        <v>146.6308256880734</v>
      </c>
      <c r="F36" s="18">
        <f t="shared" si="1"/>
        <v>218</v>
      </c>
      <c r="G36" s="18" t="str">
        <f t="shared" si="2"/>
        <v>Sem premiação</v>
      </c>
    </row>
    <row r="37" spans="2:7" ht="20.100000000000001" customHeight="1" x14ac:dyDescent="0.25">
      <c r="B37" s="14" t="s">
        <v>103</v>
      </c>
      <c r="C37" s="15">
        <v>108</v>
      </c>
      <c r="D37" s="16">
        <v>10229.950000000001</v>
      </c>
      <c r="E37" s="17">
        <f t="shared" si="0"/>
        <v>94.721759259259272</v>
      </c>
      <c r="F37" s="18">
        <f t="shared" si="1"/>
        <v>108</v>
      </c>
      <c r="G37" s="18" t="str">
        <f t="shared" si="2"/>
        <v>Sem premiação</v>
      </c>
    </row>
    <row r="38" spans="2:7" ht="20.100000000000001" customHeight="1" x14ac:dyDescent="0.25">
      <c r="B38" s="14" t="s">
        <v>104</v>
      </c>
      <c r="C38" s="15">
        <v>104</v>
      </c>
      <c r="D38" s="16">
        <v>12749.71</v>
      </c>
      <c r="E38" s="17">
        <f t="shared" si="0"/>
        <v>122.59336538461538</v>
      </c>
      <c r="F38" s="18">
        <f t="shared" si="1"/>
        <v>208</v>
      </c>
      <c r="G38" s="18" t="str">
        <f t="shared" si="2"/>
        <v>Sem premiação</v>
      </c>
    </row>
    <row r="39" spans="2:7" ht="20.100000000000001" customHeight="1" x14ac:dyDescent="0.25">
      <c r="B39" s="14" t="s">
        <v>105</v>
      </c>
      <c r="C39" s="15">
        <v>103</v>
      </c>
      <c r="D39" s="16">
        <v>11564.91</v>
      </c>
      <c r="E39" s="17">
        <f t="shared" si="0"/>
        <v>112.28067961165048</v>
      </c>
      <c r="F39" s="18">
        <f t="shared" si="1"/>
        <v>206</v>
      </c>
      <c r="G39" s="18" t="str">
        <f t="shared" si="2"/>
        <v>Sem premiação</v>
      </c>
    </row>
    <row r="40" spans="2:7" ht="20.100000000000001" customHeight="1" x14ac:dyDescent="0.25">
      <c r="B40" s="14" t="s">
        <v>106</v>
      </c>
      <c r="C40" s="15">
        <v>102</v>
      </c>
      <c r="D40" s="16">
        <v>17968.75</v>
      </c>
      <c r="E40" s="17">
        <f t="shared" si="0"/>
        <v>176.1642156862745</v>
      </c>
      <c r="F40" s="18">
        <f t="shared" si="1"/>
        <v>306</v>
      </c>
      <c r="G40" s="18" t="str">
        <f t="shared" si="2"/>
        <v>Apple Watch</v>
      </c>
    </row>
    <row r="41" spans="2:7" ht="20.100000000000001" customHeight="1" x14ac:dyDescent="0.25">
      <c r="B41" s="14" t="s">
        <v>107</v>
      </c>
      <c r="C41" s="15">
        <v>101</v>
      </c>
      <c r="D41" s="16">
        <v>12462.34</v>
      </c>
      <c r="E41" s="17">
        <f t="shared" si="0"/>
        <v>123.38950495049505</v>
      </c>
      <c r="F41" s="18">
        <f t="shared" si="1"/>
        <v>202</v>
      </c>
      <c r="G41" s="18" t="str">
        <f t="shared" si="2"/>
        <v>Sem premiação</v>
      </c>
    </row>
    <row r="42" spans="2:7" ht="20.100000000000001" customHeight="1" x14ac:dyDescent="0.25">
      <c r="B42" s="14" t="s">
        <v>108</v>
      </c>
      <c r="C42" s="15">
        <v>101</v>
      </c>
      <c r="D42" s="16">
        <v>18676.59</v>
      </c>
      <c r="E42" s="17">
        <f t="shared" si="0"/>
        <v>184.91673267326732</v>
      </c>
      <c r="F42" s="18">
        <f t="shared" si="1"/>
        <v>303</v>
      </c>
      <c r="G42" s="18" t="str">
        <f t="shared" si="2"/>
        <v>Apple Watch</v>
      </c>
    </row>
    <row r="43" spans="2:7" ht="20.100000000000001" customHeight="1" x14ac:dyDescent="0.25">
      <c r="B43" s="14" t="s">
        <v>109</v>
      </c>
      <c r="C43" s="15">
        <v>97</v>
      </c>
      <c r="D43" s="16">
        <v>14883.95</v>
      </c>
      <c r="E43" s="17">
        <f t="shared" si="0"/>
        <v>153.44278350515464</v>
      </c>
      <c r="F43" s="18">
        <f t="shared" si="1"/>
        <v>291</v>
      </c>
      <c r="G43" s="18" t="str">
        <f t="shared" si="2"/>
        <v>Sem premiação</v>
      </c>
    </row>
    <row r="44" spans="2:7" ht="20.100000000000001" customHeight="1" x14ac:dyDescent="0.25">
      <c r="B44" s="14" t="s">
        <v>110</v>
      </c>
      <c r="C44" s="15">
        <v>97</v>
      </c>
      <c r="D44" s="16">
        <v>12312.48</v>
      </c>
      <c r="E44" s="17">
        <f t="shared" si="0"/>
        <v>126.93278350515463</v>
      </c>
      <c r="F44" s="18">
        <f t="shared" si="1"/>
        <v>194</v>
      </c>
      <c r="G44" s="18" t="str">
        <f t="shared" si="2"/>
        <v>Sem premiação</v>
      </c>
    </row>
    <row r="45" spans="2:7" ht="20.100000000000001" customHeight="1" x14ac:dyDescent="0.25">
      <c r="B45" s="14" t="s">
        <v>111</v>
      </c>
      <c r="C45" s="15">
        <v>92</v>
      </c>
      <c r="D45" s="16">
        <v>11118.46</v>
      </c>
      <c r="E45" s="17">
        <f t="shared" si="0"/>
        <v>120.85282608695651</v>
      </c>
      <c r="F45" s="18">
        <f t="shared" si="1"/>
        <v>184</v>
      </c>
      <c r="G45" s="18" t="str">
        <f t="shared" si="2"/>
        <v>Sem premiação</v>
      </c>
    </row>
    <row r="46" spans="2:7" ht="20.100000000000001" customHeight="1" x14ac:dyDescent="0.25">
      <c r="B46" s="14" t="s">
        <v>112</v>
      </c>
      <c r="C46" s="15">
        <v>91</v>
      </c>
      <c r="D46" s="16">
        <v>22494.77</v>
      </c>
      <c r="E46" s="17">
        <f t="shared" si="0"/>
        <v>247.19527472527474</v>
      </c>
      <c r="F46" s="18">
        <f t="shared" si="1"/>
        <v>364</v>
      </c>
      <c r="G46" s="18" t="str">
        <f t="shared" si="2"/>
        <v>Apple Watch</v>
      </c>
    </row>
    <row r="47" spans="2:7" ht="20.100000000000001" customHeight="1" x14ac:dyDescent="0.25">
      <c r="B47" s="14" t="s">
        <v>113</v>
      </c>
      <c r="C47" s="15">
        <v>91</v>
      </c>
      <c r="D47" s="16">
        <v>13914.72</v>
      </c>
      <c r="E47" s="17">
        <f t="shared" si="0"/>
        <v>152.90901098901099</v>
      </c>
      <c r="F47" s="18">
        <f t="shared" si="1"/>
        <v>273</v>
      </c>
      <c r="G47" s="18" t="str">
        <f t="shared" si="2"/>
        <v>Sem premiação</v>
      </c>
    </row>
    <row r="48" spans="2:7" ht="20.100000000000001" customHeight="1" x14ac:dyDescent="0.25">
      <c r="B48" s="14" t="s">
        <v>114</v>
      </c>
      <c r="C48" s="15">
        <v>88</v>
      </c>
      <c r="D48" s="16">
        <v>10223.99</v>
      </c>
      <c r="E48" s="17">
        <f t="shared" si="0"/>
        <v>116.18170454545454</v>
      </c>
      <c r="F48" s="18">
        <f t="shared" si="1"/>
        <v>176</v>
      </c>
      <c r="G48" s="18" t="str">
        <f t="shared" si="2"/>
        <v>Sem premiação</v>
      </c>
    </row>
    <row r="49" spans="2:7" ht="20.100000000000001" customHeight="1" x14ac:dyDescent="0.25">
      <c r="B49" s="14" t="s">
        <v>115</v>
      </c>
      <c r="C49" s="15">
        <v>87</v>
      </c>
      <c r="D49" s="16">
        <v>11554.07</v>
      </c>
      <c r="E49" s="17">
        <f t="shared" si="0"/>
        <v>132.80540229885057</v>
      </c>
      <c r="F49" s="18">
        <f t="shared" si="1"/>
        <v>174</v>
      </c>
      <c r="G49" s="18" t="str">
        <f t="shared" si="2"/>
        <v>Sem premiação</v>
      </c>
    </row>
    <row r="50" spans="2:7" ht="20.100000000000001" customHeight="1" x14ac:dyDescent="0.25">
      <c r="B50" s="14" t="s">
        <v>13</v>
      </c>
      <c r="C50" s="15">
        <v>87</v>
      </c>
      <c r="D50" s="16">
        <v>15126.4</v>
      </c>
      <c r="E50" s="17">
        <f t="shared" si="0"/>
        <v>173.86666666666667</v>
      </c>
      <c r="F50" s="18">
        <f t="shared" si="1"/>
        <v>261</v>
      </c>
      <c r="G50" s="18" t="str">
        <f t="shared" si="2"/>
        <v>Sem premiação</v>
      </c>
    </row>
    <row r="51" spans="2:7" ht="20.100000000000001" customHeight="1" x14ac:dyDescent="0.25">
      <c r="B51" s="14" t="s">
        <v>116</v>
      </c>
      <c r="C51" s="15">
        <v>87</v>
      </c>
      <c r="D51" s="16">
        <v>11911.82</v>
      </c>
      <c r="E51" s="17">
        <f t="shared" si="0"/>
        <v>136.9174712643678</v>
      </c>
      <c r="F51" s="18">
        <f t="shared" si="1"/>
        <v>174</v>
      </c>
      <c r="G51" s="18" t="str">
        <f t="shared" si="2"/>
        <v>Sem premiação</v>
      </c>
    </row>
    <row r="52" spans="2:7" ht="20.100000000000001" customHeight="1" x14ac:dyDescent="0.25">
      <c r="B52" s="14" t="s">
        <v>117</v>
      </c>
      <c r="C52" s="15">
        <v>87</v>
      </c>
      <c r="D52" s="16">
        <v>9749.9500000000007</v>
      </c>
      <c r="E52" s="17">
        <f t="shared" si="0"/>
        <v>112.06839080459771</v>
      </c>
      <c r="F52" s="18">
        <f t="shared" si="1"/>
        <v>174</v>
      </c>
      <c r="G52" s="18" t="str">
        <f t="shared" si="2"/>
        <v>Sem premiação</v>
      </c>
    </row>
    <row r="53" spans="2:7" ht="20.100000000000001" customHeight="1" x14ac:dyDescent="0.25">
      <c r="B53" s="14" t="s">
        <v>118</v>
      </c>
      <c r="C53" s="15">
        <v>87</v>
      </c>
      <c r="D53" s="16">
        <v>8727.19</v>
      </c>
      <c r="E53" s="17">
        <f t="shared" si="0"/>
        <v>100.31252873563218</v>
      </c>
      <c r="F53" s="18">
        <f t="shared" si="1"/>
        <v>174</v>
      </c>
      <c r="G53" s="18" t="str">
        <f t="shared" si="2"/>
        <v>Sem premiação</v>
      </c>
    </row>
    <row r="54" spans="2:7" ht="20.100000000000001" customHeight="1" x14ac:dyDescent="0.25">
      <c r="B54" s="14" t="s">
        <v>119</v>
      </c>
      <c r="C54" s="15">
        <v>85</v>
      </c>
      <c r="D54" s="16">
        <v>11784.42</v>
      </c>
      <c r="E54" s="17">
        <f t="shared" si="0"/>
        <v>138.64023529411764</v>
      </c>
      <c r="F54" s="18">
        <f t="shared" si="1"/>
        <v>170</v>
      </c>
      <c r="G54" s="18" t="str">
        <f t="shared" si="2"/>
        <v>Sem premiação</v>
      </c>
    </row>
    <row r="55" spans="2:7" ht="20.100000000000001" customHeight="1" x14ac:dyDescent="0.25">
      <c r="B55" s="14" t="s">
        <v>120</v>
      </c>
      <c r="C55" s="15">
        <v>83</v>
      </c>
      <c r="D55" s="16">
        <v>9978.48</v>
      </c>
      <c r="E55" s="17">
        <f t="shared" si="0"/>
        <v>120.22265060240963</v>
      </c>
      <c r="F55" s="18">
        <f t="shared" si="1"/>
        <v>166</v>
      </c>
      <c r="G55" s="18" t="str">
        <f t="shared" si="2"/>
        <v>Sem premiação</v>
      </c>
    </row>
    <row r="56" spans="2:7" ht="20.100000000000001" customHeight="1" x14ac:dyDescent="0.25">
      <c r="B56" s="14" t="s">
        <v>121</v>
      </c>
      <c r="C56" s="15">
        <v>83</v>
      </c>
      <c r="D56" s="16">
        <v>11909.52</v>
      </c>
      <c r="E56" s="17">
        <f t="shared" si="0"/>
        <v>143.48819277108433</v>
      </c>
      <c r="F56" s="18">
        <f t="shared" si="1"/>
        <v>166</v>
      </c>
      <c r="G56" s="18" t="str">
        <f t="shared" si="2"/>
        <v>Sem premiação</v>
      </c>
    </row>
    <row r="57" spans="2:7" ht="20.100000000000001" customHeight="1" x14ac:dyDescent="0.25">
      <c r="B57" s="14" t="s">
        <v>122</v>
      </c>
      <c r="C57" s="15">
        <v>82</v>
      </c>
      <c r="D57" s="16">
        <v>12632.6</v>
      </c>
      <c r="E57" s="17">
        <f t="shared" si="0"/>
        <v>154.05609756097562</v>
      </c>
      <c r="F57" s="18">
        <f t="shared" si="1"/>
        <v>246</v>
      </c>
      <c r="G57" s="18" t="str">
        <f t="shared" si="2"/>
        <v>Sem premiação</v>
      </c>
    </row>
    <row r="58" spans="2:7" ht="20.100000000000001" customHeight="1" x14ac:dyDescent="0.25">
      <c r="B58" s="14" t="s">
        <v>44</v>
      </c>
      <c r="C58" s="15">
        <v>82</v>
      </c>
      <c r="D58" s="16">
        <v>19448.43</v>
      </c>
      <c r="E58" s="17">
        <f t="shared" si="0"/>
        <v>237.17597560975611</v>
      </c>
      <c r="F58" s="18">
        <f t="shared" si="1"/>
        <v>328</v>
      </c>
      <c r="G58" s="18" t="str">
        <f t="shared" si="2"/>
        <v>Apple Watch</v>
      </c>
    </row>
    <row r="59" spans="2:7" ht="20.100000000000001" customHeight="1" x14ac:dyDescent="0.25">
      <c r="B59" s="14" t="s">
        <v>123</v>
      </c>
      <c r="C59" s="15">
        <v>80</v>
      </c>
      <c r="D59" s="16">
        <v>10385.629999999999</v>
      </c>
      <c r="E59" s="17">
        <f t="shared" si="0"/>
        <v>129.82037499999998</v>
      </c>
      <c r="F59" s="18">
        <f t="shared" si="1"/>
        <v>160</v>
      </c>
      <c r="G59" s="18" t="str">
        <f t="shared" si="2"/>
        <v>Sem premiação</v>
      </c>
    </row>
    <row r="60" spans="2:7" ht="20.100000000000001" customHeight="1" x14ac:dyDescent="0.25">
      <c r="B60" s="14" t="s">
        <v>124</v>
      </c>
      <c r="C60" s="15">
        <v>78</v>
      </c>
      <c r="D60" s="16">
        <v>10339.299999999999</v>
      </c>
      <c r="E60" s="17">
        <f t="shared" si="0"/>
        <v>132.5551282051282</v>
      </c>
      <c r="F60" s="18">
        <f t="shared" si="1"/>
        <v>156</v>
      </c>
      <c r="G60" s="18" t="str">
        <f t="shared" si="2"/>
        <v>Sem premiação</v>
      </c>
    </row>
    <row r="61" spans="2:7" ht="20.100000000000001" customHeight="1" x14ac:dyDescent="0.25">
      <c r="B61" s="14" t="s">
        <v>125</v>
      </c>
      <c r="C61" s="15">
        <v>77</v>
      </c>
      <c r="D61" s="16">
        <v>13655.12</v>
      </c>
      <c r="E61" s="17">
        <f t="shared" si="0"/>
        <v>177.3392207792208</v>
      </c>
      <c r="F61" s="18">
        <f t="shared" si="1"/>
        <v>231</v>
      </c>
      <c r="G61" s="18" t="str">
        <f t="shared" si="2"/>
        <v>Sem premiação</v>
      </c>
    </row>
    <row r="62" spans="2:7" ht="20.100000000000001" customHeight="1" x14ac:dyDescent="0.25">
      <c r="B62" s="14" t="s">
        <v>126</v>
      </c>
      <c r="C62" s="15">
        <v>77</v>
      </c>
      <c r="D62" s="16">
        <v>14204.82</v>
      </c>
      <c r="E62" s="17">
        <f t="shared" si="0"/>
        <v>184.47818181818181</v>
      </c>
      <c r="F62" s="18">
        <f t="shared" si="1"/>
        <v>231</v>
      </c>
      <c r="G62" s="18" t="str">
        <f t="shared" si="2"/>
        <v>Sem premiação</v>
      </c>
    </row>
    <row r="63" spans="2:7" ht="20.100000000000001" customHeight="1" x14ac:dyDescent="0.25">
      <c r="B63" s="14" t="s">
        <v>127</v>
      </c>
      <c r="C63" s="15">
        <v>77</v>
      </c>
      <c r="D63" s="16">
        <v>10800.23</v>
      </c>
      <c r="E63" s="17">
        <f t="shared" si="0"/>
        <v>140.26272727272726</v>
      </c>
      <c r="F63" s="18">
        <f t="shared" si="1"/>
        <v>154</v>
      </c>
      <c r="G63" s="18" t="str">
        <f t="shared" si="2"/>
        <v>Sem premiação</v>
      </c>
    </row>
    <row r="64" spans="2:7" ht="20.100000000000001" customHeight="1" x14ac:dyDescent="0.25">
      <c r="B64" s="14" t="s">
        <v>128</v>
      </c>
      <c r="C64" s="15">
        <v>77</v>
      </c>
      <c r="D64" s="16">
        <v>11892.6</v>
      </c>
      <c r="E64" s="17">
        <f t="shared" si="0"/>
        <v>154.44935064935066</v>
      </c>
      <c r="F64" s="18">
        <f t="shared" si="1"/>
        <v>231</v>
      </c>
      <c r="G64" s="18" t="str">
        <f t="shared" si="2"/>
        <v>Sem premiação</v>
      </c>
    </row>
    <row r="65" spans="2:7" ht="20.100000000000001" customHeight="1" x14ac:dyDescent="0.25">
      <c r="B65" s="14" t="s">
        <v>129</v>
      </c>
      <c r="C65" s="15">
        <v>76</v>
      </c>
      <c r="D65" s="16">
        <v>8835.75</v>
      </c>
      <c r="E65" s="17">
        <f t="shared" si="0"/>
        <v>116.25986842105263</v>
      </c>
      <c r="F65" s="18">
        <f t="shared" si="1"/>
        <v>152</v>
      </c>
      <c r="G65" s="18" t="str">
        <f t="shared" si="2"/>
        <v>Sem premiação</v>
      </c>
    </row>
    <row r="66" spans="2:7" ht="20.100000000000001" customHeight="1" x14ac:dyDescent="0.25">
      <c r="B66" s="14" t="s">
        <v>130</v>
      </c>
      <c r="C66" s="15">
        <v>74</v>
      </c>
      <c r="D66" s="16">
        <v>8912.94</v>
      </c>
      <c r="E66" s="17">
        <f t="shared" si="0"/>
        <v>120.44513513513515</v>
      </c>
      <c r="F66" s="18">
        <f t="shared" si="1"/>
        <v>148</v>
      </c>
      <c r="G66" s="18" t="str">
        <f t="shared" si="2"/>
        <v>Sem premiação</v>
      </c>
    </row>
    <row r="67" spans="2:7" ht="20.100000000000001" customHeight="1" x14ac:dyDescent="0.25">
      <c r="B67" s="14" t="s">
        <v>131</v>
      </c>
      <c r="C67" s="15">
        <v>70</v>
      </c>
      <c r="D67" s="16">
        <v>17452.86</v>
      </c>
      <c r="E67" s="17">
        <f t="shared" si="0"/>
        <v>249.32657142857144</v>
      </c>
      <c r="F67" s="18">
        <f t="shared" si="1"/>
        <v>280</v>
      </c>
      <c r="G67" s="18" t="str">
        <f t="shared" si="2"/>
        <v>Sem premiação</v>
      </c>
    </row>
    <row r="68" spans="2:7" ht="20.100000000000001" customHeight="1" x14ac:dyDescent="0.25">
      <c r="B68" s="14" t="s">
        <v>132</v>
      </c>
      <c r="C68" s="15">
        <v>70</v>
      </c>
      <c r="D68" s="16">
        <v>8125.09</v>
      </c>
      <c r="E68" s="17">
        <f t="shared" ref="E68:E131" si="3">D68/C68</f>
        <v>116.07271428571428</v>
      </c>
      <c r="F68" s="18">
        <f t="shared" ref="F68:F131" si="4">IFERROR(C68*_xlfn.XLOOKUP(E68,$J$4:$J$13,$K$4:$K$13,0,-1),0)</f>
        <v>140</v>
      </c>
      <c r="G68" s="18" t="str">
        <f t="shared" ref="G68:G131" si="5">IFERROR(VLOOKUP(F68,$J$16:$K$19,2,TRUE),"SEM PREMIAÇÃO")</f>
        <v>Sem premiação</v>
      </c>
    </row>
    <row r="69" spans="2:7" ht="20.100000000000001" customHeight="1" x14ac:dyDescent="0.25">
      <c r="B69" s="14" t="s">
        <v>133</v>
      </c>
      <c r="C69" s="15">
        <v>69</v>
      </c>
      <c r="D69" s="16">
        <v>12966.06</v>
      </c>
      <c r="E69" s="17">
        <f t="shared" si="3"/>
        <v>187.91391304347826</v>
      </c>
      <c r="F69" s="18">
        <f t="shared" si="4"/>
        <v>207</v>
      </c>
      <c r="G69" s="18" t="str">
        <f t="shared" si="5"/>
        <v>Sem premiação</v>
      </c>
    </row>
    <row r="70" spans="2:7" ht="20.100000000000001" customHeight="1" x14ac:dyDescent="0.25">
      <c r="B70" s="14" t="s">
        <v>134</v>
      </c>
      <c r="C70" s="15">
        <v>68</v>
      </c>
      <c r="D70" s="16">
        <v>7461.38</v>
      </c>
      <c r="E70" s="17">
        <f t="shared" si="3"/>
        <v>109.72617647058824</v>
      </c>
      <c r="F70" s="18">
        <f t="shared" si="4"/>
        <v>136</v>
      </c>
      <c r="G70" s="18" t="str">
        <f t="shared" si="5"/>
        <v>Sem premiação</v>
      </c>
    </row>
    <row r="71" spans="2:7" ht="20.100000000000001" customHeight="1" x14ac:dyDescent="0.25">
      <c r="B71" s="14" t="s">
        <v>135</v>
      </c>
      <c r="C71" s="15">
        <v>68</v>
      </c>
      <c r="D71" s="16">
        <v>10334.030000000001</v>
      </c>
      <c r="E71" s="17">
        <f t="shared" si="3"/>
        <v>151.9710294117647</v>
      </c>
      <c r="F71" s="18">
        <f t="shared" si="4"/>
        <v>204</v>
      </c>
      <c r="G71" s="18" t="str">
        <f t="shared" si="5"/>
        <v>Sem premiação</v>
      </c>
    </row>
    <row r="72" spans="2:7" ht="20.100000000000001" customHeight="1" x14ac:dyDescent="0.25">
      <c r="B72" s="14" t="s">
        <v>136</v>
      </c>
      <c r="C72" s="15">
        <v>68</v>
      </c>
      <c r="D72" s="16">
        <v>7001.14</v>
      </c>
      <c r="E72" s="17">
        <f t="shared" si="3"/>
        <v>102.9579411764706</v>
      </c>
      <c r="F72" s="18">
        <f t="shared" si="4"/>
        <v>136</v>
      </c>
      <c r="G72" s="18" t="str">
        <f t="shared" si="5"/>
        <v>Sem premiação</v>
      </c>
    </row>
    <row r="73" spans="2:7" ht="20.100000000000001" customHeight="1" x14ac:dyDescent="0.25">
      <c r="B73" s="14" t="s">
        <v>137</v>
      </c>
      <c r="C73" s="15">
        <v>68</v>
      </c>
      <c r="D73" s="16">
        <v>10050.1</v>
      </c>
      <c r="E73" s="17">
        <f t="shared" si="3"/>
        <v>147.79558823529413</v>
      </c>
      <c r="F73" s="18">
        <f t="shared" si="4"/>
        <v>136</v>
      </c>
      <c r="G73" s="18" t="str">
        <f t="shared" si="5"/>
        <v>Sem premiação</v>
      </c>
    </row>
    <row r="74" spans="2:7" ht="20.100000000000001" customHeight="1" x14ac:dyDescent="0.25">
      <c r="B74" s="14" t="s">
        <v>138</v>
      </c>
      <c r="C74" s="15">
        <v>67</v>
      </c>
      <c r="D74" s="16">
        <v>7504.32</v>
      </c>
      <c r="E74" s="17">
        <f t="shared" si="3"/>
        <v>112.00477611940298</v>
      </c>
      <c r="F74" s="18">
        <f t="shared" si="4"/>
        <v>134</v>
      </c>
      <c r="G74" s="18" t="str">
        <f t="shared" si="5"/>
        <v>Sem premiação</v>
      </c>
    </row>
    <row r="75" spans="2:7" ht="20.100000000000001" customHeight="1" x14ac:dyDescent="0.25">
      <c r="B75" s="14" t="s">
        <v>57</v>
      </c>
      <c r="C75" s="15">
        <v>66</v>
      </c>
      <c r="D75" s="16">
        <v>11445.27</v>
      </c>
      <c r="E75" s="17">
        <f t="shared" si="3"/>
        <v>173.41318181818181</v>
      </c>
      <c r="F75" s="18">
        <f t="shared" si="4"/>
        <v>198</v>
      </c>
      <c r="G75" s="18" t="str">
        <f t="shared" si="5"/>
        <v>Sem premiação</v>
      </c>
    </row>
    <row r="76" spans="2:7" ht="20.100000000000001" customHeight="1" x14ac:dyDescent="0.25">
      <c r="B76" s="14" t="s">
        <v>139</v>
      </c>
      <c r="C76" s="15">
        <v>65</v>
      </c>
      <c r="D76" s="16">
        <v>9776.01</v>
      </c>
      <c r="E76" s="17">
        <f t="shared" si="3"/>
        <v>150.40015384615384</v>
      </c>
      <c r="F76" s="18">
        <f t="shared" si="4"/>
        <v>195</v>
      </c>
      <c r="G76" s="18" t="str">
        <f t="shared" si="5"/>
        <v>Sem premiação</v>
      </c>
    </row>
    <row r="77" spans="2:7" ht="20.100000000000001" customHeight="1" x14ac:dyDescent="0.25">
      <c r="B77" s="14" t="s">
        <v>140</v>
      </c>
      <c r="C77" s="15">
        <v>65</v>
      </c>
      <c r="D77" s="16">
        <v>7597.28</v>
      </c>
      <c r="E77" s="17">
        <f t="shared" si="3"/>
        <v>116.88123076923077</v>
      </c>
      <c r="F77" s="18">
        <f t="shared" si="4"/>
        <v>130</v>
      </c>
      <c r="G77" s="18" t="str">
        <f t="shared" si="5"/>
        <v>Sem premiação</v>
      </c>
    </row>
    <row r="78" spans="2:7" ht="20.100000000000001" customHeight="1" x14ac:dyDescent="0.25">
      <c r="B78" s="14" t="s">
        <v>141</v>
      </c>
      <c r="C78" s="15">
        <v>65</v>
      </c>
      <c r="D78" s="16">
        <v>6416.16</v>
      </c>
      <c r="E78" s="17">
        <f t="shared" si="3"/>
        <v>98.710153846153844</v>
      </c>
      <c r="F78" s="18">
        <f t="shared" si="4"/>
        <v>65</v>
      </c>
      <c r="G78" s="18" t="str">
        <f t="shared" si="5"/>
        <v>Sem premiação</v>
      </c>
    </row>
    <row r="79" spans="2:7" ht="20.100000000000001" customHeight="1" x14ac:dyDescent="0.25">
      <c r="B79" s="14" t="s">
        <v>142</v>
      </c>
      <c r="C79" s="15">
        <v>64</v>
      </c>
      <c r="D79" s="16">
        <v>22796.43</v>
      </c>
      <c r="E79" s="17">
        <f t="shared" si="3"/>
        <v>356.19421875</v>
      </c>
      <c r="F79" s="18">
        <f t="shared" si="4"/>
        <v>448</v>
      </c>
      <c r="G79" s="18" t="str">
        <f t="shared" si="5"/>
        <v>Apple Watch</v>
      </c>
    </row>
    <row r="80" spans="2:7" ht="20.100000000000001" customHeight="1" x14ac:dyDescent="0.25">
      <c r="B80" s="14" t="s">
        <v>143</v>
      </c>
      <c r="C80" s="15">
        <v>64</v>
      </c>
      <c r="D80" s="16">
        <v>12504.45</v>
      </c>
      <c r="E80" s="17">
        <f t="shared" si="3"/>
        <v>195.38203125000001</v>
      </c>
      <c r="F80" s="18">
        <f t="shared" si="4"/>
        <v>192</v>
      </c>
      <c r="G80" s="18" t="str">
        <f t="shared" si="5"/>
        <v>Sem premiação</v>
      </c>
    </row>
    <row r="81" spans="2:7" ht="20.100000000000001" customHeight="1" x14ac:dyDescent="0.25">
      <c r="B81" s="14" t="s">
        <v>144</v>
      </c>
      <c r="C81" s="15">
        <v>63</v>
      </c>
      <c r="D81" s="16">
        <v>7229.38</v>
      </c>
      <c r="E81" s="17">
        <f t="shared" si="3"/>
        <v>114.7520634920635</v>
      </c>
      <c r="F81" s="18">
        <f t="shared" si="4"/>
        <v>126</v>
      </c>
      <c r="G81" s="18" t="str">
        <f t="shared" si="5"/>
        <v>Sem premiação</v>
      </c>
    </row>
    <row r="82" spans="2:7" ht="20.100000000000001" customHeight="1" x14ac:dyDescent="0.25">
      <c r="B82" s="14" t="s">
        <v>145</v>
      </c>
      <c r="C82" s="15">
        <v>62</v>
      </c>
      <c r="D82" s="16">
        <v>14049.76</v>
      </c>
      <c r="E82" s="17">
        <f t="shared" si="3"/>
        <v>226.60903225806453</v>
      </c>
      <c r="F82" s="18">
        <f t="shared" si="4"/>
        <v>248</v>
      </c>
      <c r="G82" s="18" t="str">
        <f t="shared" si="5"/>
        <v>Sem premiação</v>
      </c>
    </row>
    <row r="83" spans="2:7" ht="20.100000000000001" customHeight="1" x14ac:dyDescent="0.25">
      <c r="B83" s="14" t="s">
        <v>146</v>
      </c>
      <c r="C83" s="15">
        <v>62</v>
      </c>
      <c r="D83" s="16">
        <v>10368.52</v>
      </c>
      <c r="E83" s="17">
        <f t="shared" si="3"/>
        <v>167.23419354838711</v>
      </c>
      <c r="F83" s="18">
        <f t="shared" si="4"/>
        <v>186</v>
      </c>
      <c r="G83" s="18" t="str">
        <f t="shared" si="5"/>
        <v>Sem premiação</v>
      </c>
    </row>
    <row r="84" spans="2:7" ht="20.100000000000001" customHeight="1" x14ac:dyDescent="0.25">
      <c r="B84" s="14" t="s">
        <v>147</v>
      </c>
      <c r="C84" s="15">
        <v>62</v>
      </c>
      <c r="D84" s="16">
        <v>7394.56</v>
      </c>
      <c r="E84" s="17">
        <f t="shared" si="3"/>
        <v>119.26709677419356</v>
      </c>
      <c r="F84" s="18">
        <f t="shared" si="4"/>
        <v>124</v>
      </c>
      <c r="G84" s="18" t="str">
        <f t="shared" si="5"/>
        <v>Sem premiação</v>
      </c>
    </row>
    <row r="85" spans="2:7" ht="20.100000000000001" customHeight="1" x14ac:dyDescent="0.25">
      <c r="B85" s="14" t="s">
        <v>148</v>
      </c>
      <c r="C85" s="15">
        <v>61</v>
      </c>
      <c r="D85" s="16">
        <v>8840.48</v>
      </c>
      <c r="E85" s="17">
        <f t="shared" si="3"/>
        <v>144.92590163934426</v>
      </c>
      <c r="F85" s="18">
        <f t="shared" si="4"/>
        <v>122</v>
      </c>
      <c r="G85" s="18" t="str">
        <f t="shared" si="5"/>
        <v>Sem premiação</v>
      </c>
    </row>
    <row r="86" spans="2:7" ht="20.100000000000001" customHeight="1" x14ac:dyDescent="0.25">
      <c r="B86" s="14" t="s">
        <v>149</v>
      </c>
      <c r="C86" s="15">
        <v>60</v>
      </c>
      <c r="D86" s="16">
        <v>5777.42</v>
      </c>
      <c r="E86" s="17">
        <f t="shared" si="3"/>
        <v>96.290333333333336</v>
      </c>
      <c r="F86" s="18">
        <f t="shared" si="4"/>
        <v>60</v>
      </c>
      <c r="G86" s="18" t="str">
        <f t="shared" si="5"/>
        <v>Sem premiação</v>
      </c>
    </row>
    <row r="87" spans="2:7" ht="20.100000000000001" customHeight="1" x14ac:dyDescent="0.25">
      <c r="B87" s="14" t="s">
        <v>150</v>
      </c>
      <c r="C87" s="15">
        <v>60</v>
      </c>
      <c r="D87" s="16">
        <v>10192.75</v>
      </c>
      <c r="E87" s="17">
        <f t="shared" si="3"/>
        <v>169.87916666666666</v>
      </c>
      <c r="F87" s="18">
        <f t="shared" si="4"/>
        <v>180</v>
      </c>
      <c r="G87" s="18" t="str">
        <f t="shared" si="5"/>
        <v>Sem premiação</v>
      </c>
    </row>
    <row r="88" spans="2:7" ht="20.100000000000001" customHeight="1" x14ac:dyDescent="0.25">
      <c r="B88" s="14" t="s">
        <v>151</v>
      </c>
      <c r="C88" s="15">
        <v>60</v>
      </c>
      <c r="D88" s="16">
        <v>6465.32</v>
      </c>
      <c r="E88" s="17">
        <f t="shared" si="3"/>
        <v>107.75533333333333</v>
      </c>
      <c r="F88" s="18">
        <f t="shared" si="4"/>
        <v>120</v>
      </c>
      <c r="G88" s="18" t="str">
        <f t="shared" si="5"/>
        <v>Sem premiação</v>
      </c>
    </row>
    <row r="89" spans="2:7" ht="20.100000000000001" customHeight="1" x14ac:dyDescent="0.25">
      <c r="B89" s="14" t="s">
        <v>152</v>
      </c>
      <c r="C89" s="15">
        <v>59</v>
      </c>
      <c r="D89" s="16">
        <v>8282.7900000000009</v>
      </c>
      <c r="E89" s="17">
        <f t="shared" si="3"/>
        <v>140.38627118644069</v>
      </c>
      <c r="F89" s="18">
        <f t="shared" si="4"/>
        <v>118</v>
      </c>
      <c r="G89" s="18" t="str">
        <f t="shared" si="5"/>
        <v>Sem premiação</v>
      </c>
    </row>
    <row r="90" spans="2:7" ht="20.100000000000001" customHeight="1" x14ac:dyDescent="0.25">
      <c r="B90" s="14" t="s">
        <v>153</v>
      </c>
      <c r="C90" s="15">
        <v>59</v>
      </c>
      <c r="D90" s="16">
        <v>7984.99</v>
      </c>
      <c r="E90" s="17">
        <f t="shared" si="3"/>
        <v>135.33881355932203</v>
      </c>
      <c r="F90" s="18">
        <f t="shared" si="4"/>
        <v>118</v>
      </c>
      <c r="G90" s="18" t="str">
        <f t="shared" si="5"/>
        <v>Sem premiação</v>
      </c>
    </row>
    <row r="91" spans="2:7" ht="20.100000000000001" customHeight="1" x14ac:dyDescent="0.25">
      <c r="B91" s="14" t="s">
        <v>154</v>
      </c>
      <c r="C91" s="15">
        <v>58</v>
      </c>
      <c r="D91" s="16">
        <v>6899.23</v>
      </c>
      <c r="E91" s="17">
        <f t="shared" si="3"/>
        <v>118.95224137931034</v>
      </c>
      <c r="F91" s="18">
        <f t="shared" si="4"/>
        <v>116</v>
      </c>
      <c r="G91" s="18" t="str">
        <f t="shared" si="5"/>
        <v>Sem premiação</v>
      </c>
    </row>
    <row r="92" spans="2:7" ht="20.100000000000001" customHeight="1" x14ac:dyDescent="0.25">
      <c r="B92" s="14" t="s">
        <v>155</v>
      </c>
      <c r="C92" s="15">
        <v>58</v>
      </c>
      <c r="D92" s="16">
        <v>10774.22</v>
      </c>
      <c r="E92" s="17">
        <f t="shared" si="3"/>
        <v>185.76241379310343</v>
      </c>
      <c r="F92" s="18">
        <f t="shared" si="4"/>
        <v>174</v>
      </c>
      <c r="G92" s="18" t="str">
        <f t="shared" si="5"/>
        <v>Sem premiação</v>
      </c>
    </row>
    <row r="93" spans="2:7" ht="20.100000000000001" customHeight="1" x14ac:dyDescent="0.25">
      <c r="B93" s="14" t="s">
        <v>156</v>
      </c>
      <c r="C93" s="15">
        <v>58</v>
      </c>
      <c r="D93" s="16">
        <v>9427.02</v>
      </c>
      <c r="E93" s="17">
        <f t="shared" si="3"/>
        <v>162.53482758620692</v>
      </c>
      <c r="F93" s="18">
        <f t="shared" si="4"/>
        <v>174</v>
      </c>
      <c r="G93" s="18" t="str">
        <f t="shared" si="5"/>
        <v>Sem premiação</v>
      </c>
    </row>
    <row r="94" spans="2:7" ht="20.100000000000001" customHeight="1" x14ac:dyDescent="0.25">
      <c r="B94" s="14" t="s">
        <v>157</v>
      </c>
      <c r="C94" s="15">
        <v>57</v>
      </c>
      <c r="D94" s="16">
        <v>9205.8700000000008</v>
      </c>
      <c r="E94" s="17">
        <f t="shared" si="3"/>
        <v>161.50649122807019</v>
      </c>
      <c r="F94" s="18">
        <f t="shared" si="4"/>
        <v>171</v>
      </c>
      <c r="G94" s="18" t="str">
        <f t="shared" si="5"/>
        <v>Sem premiação</v>
      </c>
    </row>
    <row r="95" spans="2:7" ht="20.100000000000001" customHeight="1" x14ac:dyDescent="0.25">
      <c r="B95" s="14" t="s">
        <v>158</v>
      </c>
      <c r="C95" s="15">
        <v>57</v>
      </c>
      <c r="D95" s="16">
        <v>8392.31</v>
      </c>
      <c r="E95" s="17">
        <f t="shared" si="3"/>
        <v>147.23350877192982</v>
      </c>
      <c r="F95" s="18">
        <f t="shared" si="4"/>
        <v>114</v>
      </c>
      <c r="G95" s="18" t="str">
        <f t="shared" si="5"/>
        <v>Sem premiação</v>
      </c>
    </row>
    <row r="96" spans="2:7" ht="20.100000000000001" customHeight="1" x14ac:dyDescent="0.25">
      <c r="B96" s="14" t="s">
        <v>159</v>
      </c>
      <c r="C96" s="15">
        <v>57</v>
      </c>
      <c r="D96" s="16">
        <v>5933.85</v>
      </c>
      <c r="E96" s="17">
        <f t="shared" si="3"/>
        <v>104.10263157894738</v>
      </c>
      <c r="F96" s="18">
        <f t="shared" si="4"/>
        <v>114</v>
      </c>
      <c r="G96" s="18" t="str">
        <f t="shared" si="5"/>
        <v>Sem premiação</v>
      </c>
    </row>
    <row r="97" spans="2:7" ht="20.100000000000001" customHeight="1" x14ac:dyDescent="0.25">
      <c r="B97" s="14" t="s">
        <v>160</v>
      </c>
      <c r="C97" s="15">
        <v>56</v>
      </c>
      <c r="D97" s="16">
        <v>7073.6</v>
      </c>
      <c r="E97" s="17">
        <f t="shared" si="3"/>
        <v>126.31428571428572</v>
      </c>
      <c r="F97" s="18">
        <f t="shared" si="4"/>
        <v>112</v>
      </c>
      <c r="G97" s="18" t="str">
        <f t="shared" si="5"/>
        <v>Sem premiação</v>
      </c>
    </row>
    <row r="98" spans="2:7" ht="20.100000000000001" customHeight="1" x14ac:dyDescent="0.25">
      <c r="B98" s="14" t="s">
        <v>161</v>
      </c>
      <c r="C98" s="15">
        <v>56</v>
      </c>
      <c r="D98" s="16">
        <v>6110.27</v>
      </c>
      <c r="E98" s="17">
        <f t="shared" si="3"/>
        <v>109.11196428571429</v>
      </c>
      <c r="F98" s="18">
        <f t="shared" si="4"/>
        <v>112</v>
      </c>
      <c r="G98" s="18" t="str">
        <f t="shared" si="5"/>
        <v>Sem premiação</v>
      </c>
    </row>
    <row r="99" spans="2:7" ht="20.100000000000001" customHeight="1" x14ac:dyDescent="0.25">
      <c r="B99" s="14" t="s">
        <v>162</v>
      </c>
      <c r="C99" s="15">
        <v>56</v>
      </c>
      <c r="D99" s="16">
        <v>11981.13</v>
      </c>
      <c r="E99" s="17">
        <f t="shared" si="3"/>
        <v>213.94874999999999</v>
      </c>
      <c r="F99" s="18">
        <f t="shared" si="4"/>
        <v>224</v>
      </c>
      <c r="G99" s="18" t="str">
        <f t="shared" si="5"/>
        <v>Sem premiação</v>
      </c>
    </row>
    <row r="100" spans="2:7" ht="20.100000000000001" customHeight="1" x14ac:dyDescent="0.25">
      <c r="B100" s="14" t="s">
        <v>163</v>
      </c>
      <c r="C100" s="15">
        <v>53</v>
      </c>
      <c r="D100" s="16">
        <v>7098.37</v>
      </c>
      <c r="E100" s="17">
        <f t="shared" si="3"/>
        <v>133.93150943396228</v>
      </c>
      <c r="F100" s="18">
        <f t="shared" si="4"/>
        <v>106</v>
      </c>
      <c r="G100" s="18" t="str">
        <f t="shared" si="5"/>
        <v>Sem premiação</v>
      </c>
    </row>
    <row r="101" spans="2:7" ht="20.100000000000001" customHeight="1" x14ac:dyDescent="0.25">
      <c r="B101" s="14" t="s">
        <v>164</v>
      </c>
      <c r="C101" s="15">
        <v>51</v>
      </c>
      <c r="D101" s="16">
        <v>9486.59</v>
      </c>
      <c r="E101" s="17">
        <f t="shared" si="3"/>
        <v>186.01156862745097</v>
      </c>
      <c r="F101" s="18">
        <f t="shared" si="4"/>
        <v>153</v>
      </c>
      <c r="G101" s="18" t="str">
        <f t="shared" si="5"/>
        <v>Sem premiação</v>
      </c>
    </row>
    <row r="102" spans="2:7" ht="20.100000000000001" customHeight="1" x14ac:dyDescent="0.25">
      <c r="B102" s="14" t="s">
        <v>165</v>
      </c>
      <c r="C102" s="15">
        <v>51</v>
      </c>
      <c r="D102" s="16">
        <v>8914.67</v>
      </c>
      <c r="E102" s="17">
        <f t="shared" si="3"/>
        <v>174.79745098039217</v>
      </c>
      <c r="F102" s="18">
        <f t="shared" si="4"/>
        <v>153</v>
      </c>
      <c r="G102" s="18" t="str">
        <f t="shared" si="5"/>
        <v>Sem premiação</v>
      </c>
    </row>
    <row r="103" spans="2:7" ht="20.100000000000001" customHeight="1" x14ac:dyDescent="0.25">
      <c r="B103" s="14" t="s">
        <v>166</v>
      </c>
      <c r="C103" s="15">
        <v>50</v>
      </c>
      <c r="D103" s="16">
        <v>7463.12</v>
      </c>
      <c r="E103" s="17">
        <f t="shared" si="3"/>
        <v>149.26239999999999</v>
      </c>
      <c r="F103" s="18">
        <f t="shared" si="4"/>
        <v>100</v>
      </c>
      <c r="G103" s="18" t="str">
        <f t="shared" si="5"/>
        <v>Sem premiação</v>
      </c>
    </row>
    <row r="104" spans="2:7" ht="20.100000000000001" customHeight="1" x14ac:dyDescent="0.25">
      <c r="B104" s="14" t="s">
        <v>167</v>
      </c>
      <c r="C104" s="15">
        <v>50</v>
      </c>
      <c r="D104" s="16">
        <v>7636.28</v>
      </c>
      <c r="E104" s="17">
        <f t="shared" si="3"/>
        <v>152.72559999999999</v>
      </c>
      <c r="F104" s="18">
        <f t="shared" si="4"/>
        <v>150</v>
      </c>
      <c r="G104" s="18" t="str">
        <f t="shared" si="5"/>
        <v>Sem premiação</v>
      </c>
    </row>
    <row r="105" spans="2:7" ht="20.100000000000001" customHeight="1" x14ac:dyDescent="0.25">
      <c r="B105" s="14" t="s">
        <v>168</v>
      </c>
      <c r="C105" s="15">
        <v>50</v>
      </c>
      <c r="D105" s="16">
        <v>4968.33</v>
      </c>
      <c r="E105" s="17">
        <f t="shared" si="3"/>
        <v>99.366600000000005</v>
      </c>
      <c r="F105" s="18">
        <f t="shared" si="4"/>
        <v>50</v>
      </c>
      <c r="G105" s="18" t="str">
        <f t="shared" si="5"/>
        <v>Sem premiação</v>
      </c>
    </row>
    <row r="106" spans="2:7" ht="20.100000000000001" customHeight="1" x14ac:dyDescent="0.25">
      <c r="B106" s="14" t="s">
        <v>169</v>
      </c>
      <c r="C106" s="15">
        <v>50</v>
      </c>
      <c r="D106" s="16">
        <v>6458.76</v>
      </c>
      <c r="E106" s="17">
        <f t="shared" si="3"/>
        <v>129.17520000000002</v>
      </c>
      <c r="F106" s="18">
        <f t="shared" si="4"/>
        <v>100</v>
      </c>
      <c r="G106" s="18" t="str">
        <f t="shared" si="5"/>
        <v>Sem premiação</v>
      </c>
    </row>
    <row r="107" spans="2:7" ht="20.100000000000001" customHeight="1" x14ac:dyDescent="0.25">
      <c r="B107" s="14" t="s">
        <v>170</v>
      </c>
      <c r="C107" s="15">
        <v>48</v>
      </c>
      <c r="D107" s="16">
        <v>7846.13</v>
      </c>
      <c r="E107" s="17">
        <f t="shared" si="3"/>
        <v>163.46104166666666</v>
      </c>
      <c r="F107" s="18">
        <f t="shared" si="4"/>
        <v>144</v>
      </c>
      <c r="G107" s="18" t="str">
        <f t="shared" si="5"/>
        <v>Sem premiação</v>
      </c>
    </row>
    <row r="108" spans="2:7" ht="20.100000000000001" customHeight="1" x14ac:dyDescent="0.25">
      <c r="B108" s="14" t="s">
        <v>171</v>
      </c>
      <c r="C108" s="15">
        <v>48</v>
      </c>
      <c r="D108" s="16">
        <v>8223.7900000000009</v>
      </c>
      <c r="E108" s="17">
        <f t="shared" si="3"/>
        <v>171.32895833333336</v>
      </c>
      <c r="F108" s="18">
        <f t="shared" si="4"/>
        <v>144</v>
      </c>
      <c r="G108" s="18" t="str">
        <f t="shared" si="5"/>
        <v>Sem premiação</v>
      </c>
    </row>
    <row r="109" spans="2:7" ht="20.100000000000001" customHeight="1" x14ac:dyDescent="0.25">
      <c r="B109" s="14" t="s">
        <v>172</v>
      </c>
      <c r="C109" s="15">
        <v>47</v>
      </c>
      <c r="D109" s="16">
        <v>12604.4</v>
      </c>
      <c r="E109" s="17">
        <f t="shared" si="3"/>
        <v>268.17872340425532</v>
      </c>
      <c r="F109" s="18">
        <f t="shared" si="4"/>
        <v>235</v>
      </c>
      <c r="G109" s="18" t="str">
        <f t="shared" si="5"/>
        <v>Sem premiação</v>
      </c>
    </row>
    <row r="110" spans="2:7" ht="20.100000000000001" customHeight="1" x14ac:dyDescent="0.25">
      <c r="B110" s="14" t="s">
        <v>173</v>
      </c>
      <c r="C110" s="15">
        <v>47</v>
      </c>
      <c r="D110" s="16">
        <v>5326.8</v>
      </c>
      <c r="E110" s="17">
        <f t="shared" si="3"/>
        <v>113.33617021276596</v>
      </c>
      <c r="F110" s="18">
        <f t="shared" si="4"/>
        <v>94</v>
      </c>
      <c r="G110" s="18" t="str">
        <f t="shared" si="5"/>
        <v>Sem premiação</v>
      </c>
    </row>
    <row r="111" spans="2:7" ht="20.100000000000001" customHeight="1" x14ac:dyDescent="0.25">
      <c r="B111" s="14" t="s">
        <v>174</v>
      </c>
      <c r="C111" s="15">
        <v>47</v>
      </c>
      <c r="D111" s="16">
        <v>6509.96</v>
      </c>
      <c r="E111" s="17">
        <f t="shared" si="3"/>
        <v>138.50978723404256</v>
      </c>
      <c r="F111" s="18">
        <f t="shared" si="4"/>
        <v>94</v>
      </c>
      <c r="G111" s="18" t="str">
        <f t="shared" si="5"/>
        <v>Sem premiação</v>
      </c>
    </row>
    <row r="112" spans="2:7" ht="20.100000000000001" customHeight="1" x14ac:dyDescent="0.25">
      <c r="B112" s="14" t="s">
        <v>175</v>
      </c>
      <c r="C112" s="15">
        <v>47</v>
      </c>
      <c r="D112" s="16">
        <v>5598.15</v>
      </c>
      <c r="E112" s="17">
        <f t="shared" si="3"/>
        <v>119.1095744680851</v>
      </c>
      <c r="F112" s="18">
        <f t="shared" si="4"/>
        <v>94</v>
      </c>
      <c r="G112" s="18" t="str">
        <f t="shared" si="5"/>
        <v>Sem premiação</v>
      </c>
    </row>
    <row r="113" spans="2:7" ht="20.100000000000001" customHeight="1" x14ac:dyDescent="0.25">
      <c r="B113" s="14" t="s">
        <v>176</v>
      </c>
      <c r="C113" s="15">
        <v>46</v>
      </c>
      <c r="D113" s="16">
        <v>4574.05</v>
      </c>
      <c r="E113" s="17">
        <f t="shared" si="3"/>
        <v>99.435869565217402</v>
      </c>
      <c r="F113" s="18">
        <f t="shared" si="4"/>
        <v>46</v>
      </c>
      <c r="G113" s="18" t="str">
        <f t="shared" si="5"/>
        <v>Sem premiação</v>
      </c>
    </row>
    <row r="114" spans="2:7" ht="20.100000000000001" customHeight="1" x14ac:dyDescent="0.25">
      <c r="B114" s="14" t="s">
        <v>177</v>
      </c>
      <c r="C114" s="15">
        <v>46</v>
      </c>
      <c r="D114" s="16">
        <v>5993.96</v>
      </c>
      <c r="E114" s="17">
        <f t="shared" si="3"/>
        <v>130.30347826086955</v>
      </c>
      <c r="F114" s="18">
        <f t="shared" si="4"/>
        <v>92</v>
      </c>
      <c r="G114" s="18" t="str">
        <f t="shared" si="5"/>
        <v>Sem premiação</v>
      </c>
    </row>
    <row r="115" spans="2:7" ht="20.100000000000001" customHeight="1" x14ac:dyDescent="0.25">
      <c r="B115" s="14" t="s">
        <v>178</v>
      </c>
      <c r="C115" s="15">
        <v>45</v>
      </c>
      <c r="D115" s="16">
        <v>10164.549999999999</v>
      </c>
      <c r="E115" s="17">
        <f t="shared" si="3"/>
        <v>225.87888888888887</v>
      </c>
      <c r="F115" s="18">
        <f t="shared" si="4"/>
        <v>180</v>
      </c>
      <c r="G115" s="18" t="str">
        <f t="shared" si="5"/>
        <v>Sem premiação</v>
      </c>
    </row>
    <row r="116" spans="2:7" ht="20.100000000000001" customHeight="1" x14ac:dyDescent="0.25">
      <c r="B116" s="14" t="s">
        <v>179</v>
      </c>
      <c r="C116" s="15">
        <v>45</v>
      </c>
      <c r="D116" s="16">
        <v>8042.28</v>
      </c>
      <c r="E116" s="17">
        <f t="shared" si="3"/>
        <v>178.71733333333333</v>
      </c>
      <c r="F116" s="18">
        <f t="shared" si="4"/>
        <v>135</v>
      </c>
      <c r="G116" s="18" t="str">
        <f t="shared" si="5"/>
        <v>Sem premiação</v>
      </c>
    </row>
    <row r="117" spans="2:7" ht="20.100000000000001" customHeight="1" x14ac:dyDescent="0.25">
      <c r="B117" s="14" t="s">
        <v>180</v>
      </c>
      <c r="C117" s="15">
        <v>45</v>
      </c>
      <c r="D117" s="16">
        <v>8935.6</v>
      </c>
      <c r="E117" s="17">
        <f t="shared" si="3"/>
        <v>198.56888888888889</v>
      </c>
      <c r="F117" s="18">
        <f t="shared" si="4"/>
        <v>135</v>
      </c>
      <c r="G117" s="18" t="str">
        <f t="shared" si="5"/>
        <v>Sem premiação</v>
      </c>
    </row>
    <row r="118" spans="2:7" ht="20.100000000000001" customHeight="1" x14ac:dyDescent="0.25">
      <c r="B118" s="14" t="s">
        <v>181</v>
      </c>
      <c r="C118" s="15">
        <v>44</v>
      </c>
      <c r="D118" s="16">
        <v>5023.21</v>
      </c>
      <c r="E118" s="17">
        <f t="shared" si="3"/>
        <v>114.16386363636364</v>
      </c>
      <c r="F118" s="18">
        <f t="shared" si="4"/>
        <v>88</v>
      </c>
      <c r="G118" s="18" t="str">
        <f t="shared" si="5"/>
        <v>Sem premiação</v>
      </c>
    </row>
    <row r="119" spans="2:7" ht="20.100000000000001" customHeight="1" x14ac:dyDescent="0.25">
      <c r="B119" s="14" t="s">
        <v>182</v>
      </c>
      <c r="C119" s="15">
        <v>44</v>
      </c>
      <c r="D119" s="16">
        <v>4878.8999999999996</v>
      </c>
      <c r="E119" s="17">
        <f t="shared" si="3"/>
        <v>110.8840909090909</v>
      </c>
      <c r="F119" s="18">
        <f t="shared" si="4"/>
        <v>88</v>
      </c>
      <c r="G119" s="18" t="str">
        <f t="shared" si="5"/>
        <v>Sem premiação</v>
      </c>
    </row>
    <row r="120" spans="2:7" ht="20.100000000000001" customHeight="1" x14ac:dyDescent="0.25">
      <c r="B120" s="14" t="s">
        <v>183</v>
      </c>
      <c r="C120" s="15">
        <v>44</v>
      </c>
      <c r="D120" s="16">
        <v>7812.35</v>
      </c>
      <c r="E120" s="17">
        <f t="shared" si="3"/>
        <v>177.5534090909091</v>
      </c>
      <c r="F120" s="18">
        <f t="shared" si="4"/>
        <v>132</v>
      </c>
      <c r="G120" s="18" t="str">
        <f t="shared" si="5"/>
        <v>Sem premiação</v>
      </c>
    </row>
    <row r="121" spans="2:7" ht="20.100000000000001" customHeight="1" x14ac:dyDescent="0.25">
      <c r="B121" s="14" t="s">
        <v>184</v>
      </c>
      <c r="C121" s="15">
        <v>44</v>
      </c>
      <c r="D121" s="16">
        <v>3492.87</v>
      </c>
      <c r="E121" s="17">
        <f t="shared" si="3"/>
        <v>79.383409090909083</v>
      </c>
      <c r="F121" s="18">
        <f t="shared" si="4"/>
        <v>44</v>
      </c>
      <c r="G121" s="18" t="str">
        <f t="shared" si="5"/>
        <v>Sem premiação</v>
      </c>
    </row>
    <row r="122" spans="2:7" ht="20.100000000000001" customHeight="1" x14ac:dyDescent="0.25">
      <c r="B122" s="14" t="s">
        <v>185</v>
      </c>
      <c r="C122" s="15">
        <v>44</v>
      </c>
      <c r="D122" s="16">
        <v>4141.58</v>
      </c>
      <c r="E122" s="17">
        <f t="shared" si="3"/>
        <v>94.12681818181818</v>
      </c>
      <c r="F122" s="18">
        <f t="shared" si="4"/>
        <v>44</v>
      </c>
      <c r="G122" s="18" t="str">
        <f t="shared" si="5"/>
        <v>Sem premiação</v>
      </c>
    </row>
    <row r="123" spans="2:7" ht="20.100000000000001" customHeight="1" x14ac:dyDescent="0.25">
      <c r="B123" s="14" t="s">
        <v>186</v>
      </c>
      <c r="C123" s="15">
        <v>44</v>
      </c>
      <c r="D123" s="16">
        <v>1929.14</v>
      </c>
      <c r="E123" s="17">
        <f t="shared" si="3"/>
        <v>43.844090909090909</v>
      </c>
      <c r="F123" s="18">
        <f t="shared" si="4"/>
        <v>0</v>
      </c>
      <c r="G123" s="18" t="str">
        <f t="shared" si="5"/>
        <v>Sem premiação</v>
      </c>
    </row>
    <row r="124" spans="2:7" ht="20.100000000000001" customHeight="1" x14ac:dyDescent="0.25">
      <c r="B124" s="14" t="s">
        <v>187</v>
      </c>
      <c r="C124" s="15">
        <v>44</v>
      </c>
      <c r="D124" s="16">
        <v>6707.08</v>
      </c>
      <c r="E124" s="17">
        <f t="shared" si="3"/>
        <v>152.43363636363637</v>
      </c>
      <c r="F124" s="18">
        <f t="shared" si="4"/>
        <v>132</v>
      </c>
      <c r="G124" s="18" t="str">
        <f t="shared" si="5"/>
        <v>Sem premiação</v>
      </c>
    </row>
    <row r="125" spans="2:7" ht="20.100000000000001" customHeight="1" x14ac:dyDescent="0.25">
      <c r="B125" s="14" t="s">
        <v>188</v>
      </c>
      <c r="C125" s="15">
        <v>43</v>
      </c>
      <c r="D125" s="16">
        <v>4000.25</v>
      </c>
      <c r="E125" s="17">
        <f t="shared" si="3"/>
        <v>93.029069767441854</v>
      </c>
      <c r="F125" s="18">
        <f t="shared" si="4"/>
        <v>43</v>
      </c>
      <c r="G125" s="18" t="str">
        <f t="shared" si="5"/>
        <v>Sem premiação</v>
      </c>
    </row>
    <row r="126" spans="2:7" ht="20.100000000000001" customHeight="1" x14ac:dyDescent="0.25">
      <c r="B126" s="14" t="s">
        <v>189</v>
      </c>
      <c r="C126" s="15">
        <v>43</v>
      </c>
      <c r="D126" s="16">
        <v>4707.6000000000004</v>
      </c>
      <c r="E126" s="17">
        <f t="shared" si="3"/>
        <v>109.47906976744187</v>
      </c>
      <c r="F126" s="18">
        <f t="shared" si="4"/>
        <v>86</v>
      </c>
      <c r="G126" s="18" t="str">
        <f t="shared" si="5"/>
        <v>Sem premiação</v>
      </c>
    </row>
    <row r="127" spans="2:7" ht="20.100000000000001" customHeight="1" x14ac:dyDescent="0.25">
      <c r="B127" s="14" t="s">
        <v>190</v>
      </c>
      <c r="C127" s="15">
        <v>42</v>
      </c>
      <c r="D127" s="16">
        <v>2989.31</v>
      </c>
      <c r="E127" s="17">
        <f t="shared" si="3"/>
        <v>71.174047619047613</v>
      </c>
      <c r="F127" s="18">
        <f t="shared" si="4"/>
        <v>42</v>
      </c>
      <c r="G127" s="18" t="str">
        <f t="shared" si="5"/>
        <v>Sem premiação</v>
      </c>
    </row>
    <row r="128" spans="2:7" ht="20.100000000000001" customHeight="1" x14ac:dyDescent="0.25">
      <c r="B128" s="14" t="s">
        <v>191</v>
      </c>
      <c r="C128" s="15">
        <v>41</v>
      </c>
      <c r="D128" s="16">
        <v>4935.3500000000004</v>
      </c>
      <c r="E128" s="17">
        <f t="shared" si="3"/>
        <v>120.37439024390245</v>
      </c>
      <c r="F128" s="18">
        <f t="shared" si="4"/>
        <v>82</v>
      </c>
      <c r="G128" s="18" t="str">
        <f t="shared" si="5"/>
        <v>Sem premiação</v>
      </c>
    </row>
    <row r="129" spans="2:7" ht="20.100000000000001" customHeight="1" x14ac:dyDescent="0.25">
      <c r="B129" s="14" t="s">
        <v>192</v>
      </c>
      <c r="C129" s="15">
        <v>41</v>
      </c>
      <c r="D129" s="16">
        <v>5348.33</v>
      </c>
      <c r="E129" s="17">
        <f t="shared" si="3"/>
        <v>130.4470731707317</v>
      </c>
      <c r="F129" s="18">
        <f t="shared" si="4"/>
        <v>82</v>
      </c>
      <c r="G129" s="18" t="str">
        <f t="shared" si="5"/>
        <v>Sem premiação</v>
      </c>
    </row>
    <row r="130" spans="2:7" ht="20.100000000000001" customHeight="1" x14ac:dyDescent="0.25">
      <c r="B130" s="14" t="s">
        <v>193</v>
      </c>
      <c r="C130" s="15">
        <v>41</v>
      </c>
      <c r="D130" s="16">
        <v>3714.75</v>
      </c>
      <c r="E130" s="17">
        <f t="shared" si="3"/>
        <v>90.603658536585371</v>
      </c>
      <c r="F130" s="18">
        <f t="shared" si="4"/>
        <v>41</v>
      </c>
      <c r="G130" s="18" t="str">
        <f t="shared" si="5"/>
        <v>Sem premiação</v>
      </c>
    </row>
    <row r="131" spans="2:7" ht="20.100000000000001" customHeight="1" x14ac:dyDescent="0.25">
      <c r="B131" s="14" t="s">
        <v>194</v>
      </c>
      <c r="C131" s="15">
        <v>41</v>
      </c>
      <c r="D131" s="16">
        <v>5796.79</v>
      </c>
      <c r="E131" s="17">
        <f t="shared" si="3"/>
        <v>141.3851219512195</v>
      </c>
      <c r="F131" s="18">
        <f t="shared" si="4"/>
        <v>82</v>
      </c>
      <c r="G131" s="18" t="str">
        <f t="shared" si="5"/>
        <v>Sem premiação</v>
      </c>
    </row>
    <row r="132" spans="2:7" ht="20.100000000000001" customHeight="1" x14ac:dyDescent="0.25">
      <c r="B132" s="14" t="s">
        <v>195</v>
      </c>
      <c r="C132" s="15">
        <v>40</v>
      </c>
      <c r="D132" s="16">
        <v>4405.57</v>
      </c>
      <c r="E132" s="17">
        <f t="shared" ref="E132:E195" si="6">D132/C132</f>
        <v>110.13924999999999</v>
      </c>
      <c r="F132" s="18">
        <f t="shared" ref="F132:F195" si="7">IFERROR(C132*_xlfn.XLOOKUP(E132,$J$4:$J$13,$K$4:$K$13,0,-1),0)</f>
        <v>80</v>
      </c>
      <c r="G132" s="18" t="str">
        <f t="shared" ref="G132:G195" si="8">IFERROR(VLOOKUP(F132,$J$16:$K$19,2,TRUE),"SEM PREMIAÇÃO")</f>
        <v>Sem premiação</v>
      </c>
    </row>
    <row r="133" spans="2:7" ht="20.100000000000001" customHeight="1" x14ac:dyDescent="0.25">
      <c r="B133" s="14" t="s">
        <v>196</v>
      </c>
      <c r="C133" s="15">
        <v>40</v>
      </c>
      <c r="D133" s="16">
        <v>4194.95</v>
      </c>
      <c r="E133" s="17">
        <f t="shared" si="6"/>
        <v>104.87375</v>
      </c>
      <c r="F133" s="18">
        <f t="shared" si="7"/>
        <v>80</v>
      </c>
      <c r="G133" s="18" t="str">
        <f t="shared" si="8"/>
        <v>Sem premiação</v>
      </c>
    </row>
    <row r="134" spans="2:7" ht="20.100000000000001" customHeight="1" x14ac:dyDescent="0.25">
      <c r="B134" s="14" t="s">
        <v>197</v>
      </c>
      <c r="C134" s="15">
        <v>40</v>
      </c>
      <c r="D134" s="16">
        <v>5264.88</v>
      </c>
      <c r="E134" s="17">
        <f t="shared" si="6"/>
        <v>131.62200000000001</v>
      </c>
      <c r="F134" s="18">
        <f t="shared" si="7"/>
        <v>80</v>
      </c>
      <c r="G134" s="18" t="str">
        <f t="shared" si="8"/>
        <v>Sem premiação</v>
      </c>
    </row>
    <row r="135" spans="2:7" ht="20.100000000000001" customHeight="1" x14ac:dyDescent="0.25">
      <c r="B135" s="14" t="s">
        <v>198</v>
      </c>
      <c r="C135" s="15">
        <v>40</v>
      </c>
      <c r="D135" s="16">
        <v>6693.48</v>
      </c>
      <c r="E135" s="17">
        <f t="shared" si="6"/>
        <v>167.33699999999999</v>
      </c>
      <c r="F135" s="18">
        <f t="shared" si="7"/>
        <v>120</v>
      </c>
      <c r="G135" s="18" t="str">
        <f t="shared" si="8"/>
        <v>Sem premiação</v>
      </c>
    </row>
    <row r="136" spans="2:7" ht="20.100000000000001" customHeight="1" x14ac:dyDescent="0.25">
      <c r="B136" s="14" t="s">
        <v>199</v>
      </c>
      <c r="C136" s="15">
        <v>39</v>
      </c>
      <c r="D136" s="16">
        <v>5238.4799999999996</v>
      </c>
      <c r="E136" s="17">
        <f t="shared" si="6"/>
        <v>134.32</v>
      </c>
      <c r="F136" s="18">
        <f t="shared" si="7"/>
        <v>78</v>
      </c>
      <c r="G136" s="18" t="str">
        <f t="shared" si="8"/>
        <v>Sem premiação</v>
      </c>
    </row>
    <row r="137" spans="2:7" ht="20.100000000000001" customHeight="1" x14ac:dyDescent="0.25">
      <c r="B137" s="14" t="s">
        <v>200</v>
      </c>
      <c r="C137" s="15">
        <v>39</v>
      </c>
      <c r="D137" s="16">
        <v>4440.8</v>
      </c>
      <c r="E137" s="17">
        <f t="shared" si="6"/>
        <v>113.86666666666667</v>
      </c>
      <c r="F137" s="18">
        <f t="shared" si="7"/>
        <v>78</v>
      </c>
      <c r="G137" s="18" t="str">
        <f t="shared" si="8"/>
        <v>Sem premiação</v>
      </c>
    </row>
    <row r="138" spans="2:7" ht="20.100000000000001" customHeight="1" x14ac:dyDescent="0.25">
      <c r="B138" s="14" t="s">
        <v>201</v>
      </c>
      <c r="C138" s="15">
        <v>38</v>
      </c>
      <c r="D138" s="16">
        <v>5462.1</v>
      </c>
      <c r="E138" s="17">
        <f t="shared" si="6"/>
        <v>143.73947368421054</v>
      </c>
      <c r="F138" s="18">
        <f t="shared" si="7"/>
        <v>76</v>
      </c>
      <c r="G138" s="18" t="str">
        <f t="shared" si="8"/>
        <v>Sem premiação</v>
      </c>
    </row>
    <row r="139" spans="2:7" ht="20.100000000000001" customHeight="1" x14ac:dyDescent="0.25">
      <c r="B139" s="14" t="s">
        <v>202</v>
      </c>
      <c r="C139" s="15">
        <v>38</v>
      </c>
      <c r="D139" s="16">
        <v>5060.7700000000004</v>
      </c>
      <c r="E139" s="17">
        <f t="shared" si="6"/>
        <v>133.17815789473684</v>
      </c>
      <c r="F139" s="18">
        <f t="shared" si="7"/>
        <v>76</v>
      </c>
      <c r="G139" s="18" t="str">
        <f t="shared" si="8"/>
        <v>Sem premiação</v>
      </c>
    </row>
    <row r="140" spans="2:7" ht="20.100000000000001" customHeight="1" x14ac:dyDescent="0.25">
      <c r="B140" s="14" t="s">
        <v>203</v>
      </c>
      <c r="C140" s="15">
        <v>38</v>
      </c>
      <c r="D140" s="16">
        <v>6738.03</v>
      </c>
      <c r="E140" s="17">
        <f t="shared" si="6"/>
        <v>177.31657894736841</v>
      </c>
      <c r="F140" s="18">
        <f t="shared" si="7"/>
        <v>114</v>
      </c>
      <c r="G140" s="18" t="str">
        <f t="shared" si="8"/>
        <v>Sem premiação</v>
      </c>
    </row>
    <row r="141" spans="2:7" ht="20.100000000000001" customHeight="1" x14ac:dyDescent="0.25">
      <c r="B141" s="14" t="s">
        <v>204</v>
      </c>
      <c r="C141" s="15">
        <v>38</v>
      </c>
      <c r="D141" s="16">
        <v>4299.9399999999996</v>
      </c>
      <c r="E141" s="17">
        <f t="shared" si="6"/>
        <v>113.15631578947368</v>
      </c>
      <c r="F141" s="18">
        <f t="shared" si="7"/>
        <v>76</v>
      </c>
      <c r="G141" s="18" t="str">
        <f t="shared" si="8"/>
        <v>Sem premiação</v>
      </c>
    </row>
    <row r="142" spans="2:7" ht="20.100000000000001" customHeight="1" x14ac:dyDescent="0.25">
      <c r="B142" s="14" t="s">
        <v>205</v>
      </c>
      <c r="C142" s="15">
        <v>37</v>
      </c>
      <c r="D142" s="16">
        <v>4269.91</v>
      </c>
      <c r="E142" s="17">
        <f t="shared" si="6"/>
        <v>115.40297297297298</v>
      </c>
      <c r="F142" s="18">
        <f t="shared" si="7"/>
        <v>74</v>
      </c>
      <c r="G142" s="18" t="str">
        <f t="shared" si="8"/>
        <v>Sem premiação</v>
      </c>
    </row>
    <row r="143" spans="2:7" ht="20.100000000000001" customHeight="1" x14ac:dyDescent="0.25">
      <c r="B143" s="14" t="s">
        <v>206</v>
      </c>
      <c r="C143" s="15">
        <v>37</v>
      </c>
      <c r="D143" s="16">
        <v>4208.3599999999997</v>
      </c>
      <c r="E143" s="17">
        <f t="shared" si="6"/>
        <v>113.73945945945945</v>
      </c>
      <c r="F143" s="18">
        <f t="shared" si="7"/>
        <v>74</v>
      </c>
      <c r="G143" s="18" t="str">
        <f t="shared" si="8"/>
        <v>Sem premiação</v>
      </c>
    </row>
    <row r="144" spans="2:7" ht="20.100000000000001" customHeight="1" x14ac:dyDescent="0.25">
      <c r="B144" s="14" t="s">
        <v>207</v>
      </c>
      <c r="C144" s="15">
        <v>36</v>
      </c>
      <c r="D144" s="16">
        <v>4408.26</v>
      </c>
      <c r="E144" s="17">
        <f t="shared" si="6"/>
        <v>122.45166666666667</v>
      </c>
      <c r="F144" s="18">
        <f t="shared" si="7"/>
        <v>72</v>
      </c>
      <c r="G144" s="18" t="str">
        <f t="shared" si="8"/>
        <v>Sem premiação</v>
      </c>
    </row>
    <row r="145" spans="2:7" ht="20.100000000000001" customHeight="1" x14ac:dyDescent="0.25">
      <c r="B145" s="14" t="s">
        <v>208</v>
      </c>
      <c r="C145" s="15">
        <v>36</v>
      </c>
      <c r="D145" s="16">
        <v>6798.51</v>
      </c>
      <c r="E145" s="17">
        <f t="shared" si="6"/>
        <v>188.8475</v>
      </c>
      <c r="F145" s="18">
        <f t="shared" si="7"/>
        <v>108</v>
      </c>
      <c r="G145" s="18" t="str">
        <f t="shared" si="8"/>
        <v>Sem premiação</v>
      </c>
    </row>
    <row r="146" spans="2:7" ht="20.100000000000001" customHeight="1" x14ac:dyDescent="0.25">
      <c r="B146" s="14" t="s">
        <v>209</v>
      </c>
      <c r="C146" s="15">
        <v>35</v>
      </c>
      <c r="D146" s="16">
        <v>4222.7299999999996</v>
      </c>
      <c r="E146" s="17">
        <f t="shared" si="6"/>
        <v>120.64942857142856</v>
      </c>
      <c r="F146" s="18">
        <f t="shared" si="7"/>
        <v>70</v>
      </c>
      <c r="G146" s="18" t="str">
        <f t="shared" si="8"/>
        <v>Sem premiação</v>
      </c>
    </row>
    <row r="147" spans="2:7" ht="20.100000000000001" customHeight="1" x14ac:dyDescent="0.25">
      <c r="B147" s="14" t="s">
        <v>210</v>
      </c>
      <c r="C147" s="15">
        <v>35</v>
      </c>
      <c r="D147" s="16">
        <v>4850.07</v>
      </c>
      <c r="E147" s="17">
        <f t="shared" si="6"/>
        <v>138.57342857142856</v>
      </c>
      <c r="F147" s="18">
        <f t="shared" si="7"/>
        <v>70</v>
      </c>
      <c r="G147" s="18" t="str">
        <f t="shared" si="8"/>
        <v>Sem premiação</v>
      </c>
    </row>
    <row r="148" spans="2:7" ht="20.100000000000001" customHeight="1" x14ac:dyDescent="0.25">
      <c r="B148" s="14" t="s">
        <v>211</v>
      </c>
      <c r="C148" s="15">
        <v>35</v>
      </c>
      <c r="D148" s="16">
        <v>3273.23</v>
      </c>
      <c r="E148" s="17">
        <f t="shared" si="6"/>
        <v>93.520857142857139</v>
      </c>
      <c r="F148" s="18">
        <f t="shared" si="7"/>
        <v>35</v>
      </c>
      <c r="G148" s="18" t="str">
        <f t="shared" si="8"/>
        <v>Sem premiação</v>
      </c>
    </row>
    <row r="149" spans="2:7" ht="20.100000000000001" customHeight="1" x14ac:dyDescent="0.25">
      <c r="B149" s="14" t="s">
        <v>212</v>
      </c>
      <c r="C149" s="15">
        <v>35</v>
      </c>
      <c r="D149" s="16">
        <v>4333.07</v>
      </c>
      <c r="E149" s="17">
        <f t="shared" si="6"/>
        <v>123.80199999999999</v>
      </c>
      <c r="F149" s="18">
        <f t="shared" si="7"/>
        <v>70</v>
      </c>
      <c r="G149" s="18" t="str">
        <f t="shared" si="8"/>
        <v>Sem premiação</v>
      </c>
    </row>
    <row r="150" spans="2:7" ht="20.100000000000001" customHeight="1" x14ac:dyDescent="0.25">
      <c r="B150" s="14" t="s">
        <v>213</v>
      </c>
      <c r="C150" s="15">
        <v>35</v>
      </c>
      <c r="D150" s="16">
        <v>4718.46</v>
      </c>
      <c r="E150" s="17">
        <f t="shared" si="6"/>
        <v>134.81314285714285</v>
      </c>
      <c r="F150" s="18">
        <f t="shared" si="7"/>
        <v>70</v>
      </c>
      <c r="G150" s="18" t="str">
        <f t="shared" si="8"/>
        <v>Sem premiação</v>
      </c>
    </row>
    <row r="151" spans="2:7" ht="20.100000000000001" customHeight="1" x14ac:dyDescent="0.25">
      <c r="B151" s="14" t="s">
        <v>214</v>
      </c>
      <c r="C151" s="15">
        <v>35</v>
      </c>
      <c r="D151" s="16">
        <v>4167.3</v>
      </c>
      <c r="E151" s="17">
        <f t="shared" si="6"/>
        <v>119.06571428571429</v>
      </c>
      <c r="F151" s="18">
        <f t="shared" si="7"/>
        <v>70</v>
      </c>
      <c r="G151" s="18" t="str">
        <f t="shared" si="8"/>
        <v>Sem premiação</v>
      </c>
    </row>
    <row r="152" spans="2:7" ht="20.100000000000001" customHeight="1" x14ac:dyDescent="0.25">
      <c r="B152" s="14" t="s">
        <v>215</v>
      </c>
      <c r="C152" s="15">
        <v>34</v>
      </c>
      <c r="D152" s="16">
        <v>3771.37</v>
      </c>
      <c r="E152" s="17">
        <f t="shared" si="6"/>
        <v>110.92264705882353</v>
      </c>
      <c r="F152" s="18">
        <f t="shared" si="7"/>
        <v>68</v>
      </c>
      <c r="G152" s="18" t="str">
        <f t="shared" si="8"/>
        <v>Sem premiação</v>
      </c>
    </row>
    <row r="153" spans="2:7" ht="20.100000000000001" customHeight="1" x14ac:dyDescent="0.25">
      <c r="B153" s="14" t="s">
        <v>34</v>
      </c>
      <c r="C153" s="15">
        <v>34</v>
      </c>
      <c r="D153" s="16">
        <v>6314.25</v>
      </c>
      <c r="E153" s="17">
        <f t="shared" si="6"/>
        <v>185.71323529411765</v>
      </c>
      <c r="F153" s="18">
        <f t="shared" si="7"/>
        <v>102</v>
      </c>
      <c r="G153" s="18" t="str">
        <f t="shared" si="8"/>
        <v>Sem premiação</v>
      </c>
    </row>
    <row r="154" spans="2:7" ht="20.100000000000001" customHeight="1" x14ac:dyDescent="0.25">
      <c r="B154" s="14" t="s">
        <v>216</v>
      </c>
      <c r="C154" s="15">
        <v>33</v>
      </c>
      <c r="D154" s="16">
        <v>3411.42</v>
      </c>
      <c r="E154" s="17">
        <f t="shared" si="6"/>
        <v>103.37636363636364</v>
      </c>
      <c r="F154" s="18">
        <f t="shared" si="7"/>
        <v>66</v>
      </c>
      <c r="G154" s="18" t="str">
        <f t="shared" si="8"/>
        <v>Sem premiação</v>
      </c>
    </row>
    <row r="155" spans="2:7" ht="20.100000000000001" customHeight="1" x14ac:dyDescent="0.25">
      <c r="B155" s="14" t="s">
        <v>217</v>
      </c>
      <c r="C155" s="15">
        <v>32</v>
      </c>
      <c r="D155" s="16">
        <v>3477.76</v>
      </c>
      <c r="E155" s="17">
        <f t="shared" si="6"/>
        <v>108.68</v>
      </c>
      <c r="F155" s="18">
        <f t="shared" si="7"/>
        <v>64</v>
      </c>
      <c r="G155" s="18" t="str">
        <f t="shared" si="8"/>
        <v>Sem premiação</v>
      </c>
    </row>
    <row r="156" spans="2:7" ht="20.100000000000001" customHeight="1" x14ac:dyDescent="0.25">
      <c r="B156" s="14" t="s">
        <v>218</v>
      </c>
      <c r="C156" s="15">
        <v>32</v>
      </c>
      <c r="D156" s="16">
        <v>4670.2299999999996</v>
      </c>
      <c r="E156" s="17">
        <f t="shared" si="6"/>
        <v>145.94468749999999</v>
      </c>
      <c r="F156" s="18">
        <f t="shared" si="7"/>
        <v>64</v>
      </c>
      <c r="G156" s="18" t="str">
        <f t="shared" si="8"/>
        <v>Sem premiação</v>
      </c>
    </row>
    <row r="157" spans="2:7" ht="20.100000000000001" customHeight="1" x14ac:dyDescent="0.25">
      <c r="B157" s="14" t="s">
        <v>219</v>
      </c>
      <c r="C157" s="15">
        <v>32</v>
      </c>
      <c r="D157" s="16">
        <v>4198.95</v>
      </c>
      <c r="E157" s="17">
        <f t="shared" si="6"/>
        <v>131.21718749999999</v>
      </c>
      <c r="F157" s="18">
        <f t="shared" si="7"/>
        <v>64</v>
      </c>
      <c r="G157" s="18" t="str">
        <f t="shared" si="8"/>
        <v>Sem premiação</v>
      </c>
    </row>
    <row r="158" spans="2:7" ht="20.100000000000001" customHeight="1" x14ac:dyDescent="0.25">
      <c r="B158" s="14" t="s">
        <v>220</v>
      </c>
      <c r="C158" s="15">
        <v>31</v>
      </c>
      <c r="D158" s="16">
        <v>5958.84</v>
      </c>
      <c r="E158" s="17">
        <f t="shared" si="6"/>
        <v>192.22064516129032</v>
      </c>
      <c r="F158" s="18">
        <f t="shared" si="7"/>
        <v>93</v>
      </c>
      <c r="G158" s="18" t="str">
        <f t="shared" si="8"/>
        <v>Sem premiação</v>
      </c>
    </row>
    <row r="159" spans="2:7" ht="20.100000000000001" customHeight="1" x14ac:dyDescent="0.25">
      <c r="B159" s="14" t="s">
        <v>221</v>
      </c>
      <c r="C159" s="15">
        <v>30</v>
      </c>
      <c r="D159" s="16">
        <v>3913.23</v>
      </c>
      <c r="E159" s="17">
        <f t="shared" si="6"/>
        <v>130.441</v>
      </c>
      <c r="F159" s="18">
        <f t="shared" si="7"/>
        <v>60</v>
      </c>
      <c r="G159" s="18" t="str">
        <f t="shared" si="8"/>
        <v>Sem premiação</v>
      </c>
    </row>
    <row r="160" spans="2:7" ht="20.100000000000001" customHeight="1" x14ac:dyDescent="0.25">
      <c r="B160" s="14" t="s">
        <v>222</v>
      </c>
      <c r="C160" s="15">
        <v>30</v>
      </c>
      <c r="D160" s="16">
        <v>5317.44</v>
      </c>
      <c r="E160" s="17">
        <f t="shared" si="6"/>
        <v>177.24799999999999</v>
      </c>
      <c r="F160" s="18">
        <f t="shared" si="7"/>
        <v>90</v>
      </c>
      <c r="G160" s="18" t="str">
        <f t="shared" si="8"/>
        <v>Sem premiação</v>
      </c>
    </row>
    <row r="161" spans="2:7" ht="20.100000000000001" customHeight="1" x14ac:dyDescent="0.25">
      <c r="B161" s="14" t="s">
        <v>223</v>
      </c>
      <c r="C161" s="15">
        <v>29</v>
      </c>
      <c r="D161" s="16">
        <v>3459.49</v>
      </c>
      <c r="E161" s="17">
        <f t="shared" si="6"/>
        <v>119.29275862068965</v>
      </c>
      <c r="F161" s="18">
        <f t="shared" si="7"/>
        <v>58</v>
      </c>
      <c r="G161" s="18" t="str">
        <f t="shared" si="8"/>
        <v>Sem premiação</v>
      </c>
    </row>
    <row r="162" spans="2:7" ht="20.100000000000001" customHeight="1" x14ac:dyDescent="0.25">
      <c r="B162" s="14" t="s">
        <v>224</v>
      </c>
      <c r="C162" s="15">
        <v>29</v>
      </c>
      <c r="D162" s="16">
        <v>6155.51</v>
      </c>
      <c r="E162" s="17">
        <f t="shared" si="6"/>
        <v>212.25896551724139</v>
      </c>
      <c r="F162" s="18">
        <f t="shared" si="7"/>
        <v>116</v>
      </c>
      <c r="G162" s="18" t="str">
        <f t="shared" si="8"/>
        <v>Sem premiação</v>
      </c>
    </row>
    <row r="163" spans="2:7" ht="20.100000000000001" customHeight="1" x14ac:dyDescent="0.25">
      <c r="B163" s="14" t="s">
        <v>225</v>
      </c>
      <c r="C163" s="15">
        <v>28</v>
      </c>
      <c r="D163" s="16">
        <v>2687.1</v>
      </c>
      <c r="E163" s="17">
        <f t="shared" si="6"/>
        <v>95.967857142857142</v>
      </c>
      <c r="F163" s="18">
        <f t="shared" si="7"/>
        <v>28</v>
      </c>
      <c r="G163" s="18" t="str">
        <f t="shared" si="8"/>
        <v>Sem premiação</v>
      </c>
    </row>
    <row r="164" spans="2:7" ht="20.100000000000001" customHeight="1" x14ac:dyDescent="0.25">
      <c r="B164" s="14" t="s">
        <v>226</v>
      </c>
      <c r="C164" s="15">
        <v>28</v>
      </c>
      <c r="D164" s="16">
        <v>2917.18</v>
      </c>
      <c r="E164" s="17">
        <f t="shared" si="6"/>
        <v>104.18499999999999</v>
      </c>
      <c r="F164" s="18">
        <f t="shared" si="7"/>
        <v>56</v>
      </c>
      <c r="G164" s="18" t="str">
        <f t="shared" si="8"/>
        <v>Sem premiação</v>
      </c>
    </row>
    <row r="165" spans="2:7" ht="20.100000000000001" customHeight="1" x14ac:dyDescent="0.25">
      <c r="B165" s="14" t="s">
        <v>227</v>
      </c>
      <c r="C165" s="15">
        <v>28</v>
      </c>
      <c r="D165" s="16">
        <v>3475.52</v>
      </c>
      <c r="E165" s="17">
        <f t="shared" si="6"/>
        <v>124.12571428571428</v>
      </c>
      <c r="F165" s="18">
        <f t="shared" si="7"/>
        <v>56</v>
      </c>
      <c r="G165" s="18" t="str">
        <f t="shared" si="8"/>
        <v>Sem premiação</v>
      </c>
    </row>
    <row r="166" spans="2:7" ht="20.100000000000001" customHeight="1" x14ac:dyDescent="0.25">
      <c r="B166" s="14" t="s">
        <v>228</v>
      </c>
      <c r="C166" s="15">
        <v>27</v>
      </c>
      <c r="D166" s="16">
        <v>3886.56</v>
      </c>
      <c r="E166" s="17">
        <f t="shared" si="6"/>
        <v>143.94666666666666</v>
      </c>
      <c r="F166" s="18">
        <f t="shared" si="7"/>
        <v>54</v>
      </c>
      <c r="G166" s="18" t="str">
        <f t="shared" si="8"/>
        <v>Sem premiação</v>
      </c>
    </row>
    <row r="167" spans="2:7" ht="20.100000000000001" customHeight="1" x14ac:dyDescent="0.25">
      <c r="B167" s="14" t="s">
        <v>229</v>
      </c>
      <c r="C167" s="15">
        <v>27</v>
      </c>
      <c r="D167" s="16">
        <v>2707.06</v>
      </c>
      <c r="E167" s="17">
        <f t="shared" si="6"/>
        <v>100.26148148148148</v>
      </c>
      <c r="F167" s="18">
        <f t="shared" si="7"/>
        <v>54</v>
      </c>
      <c r="G167" s="18" t="str">
        <f t="shared" si="8"/>
        <v>Sem premiação</v>
      </c>
    </row>
    <row r="168" spans="2:7" ht="20.100000000000001" customHeight="1" x14ac:dyDescent="0.25">
      <c r="B168" s="14" t="s">
        <v>230</v>
      </c>
      <c r="C168" s="15">
        <v>27</v>
      </c>
      <c r="D168" s="16">
        <v>5120.3900000000003</v>
      </c>
      <c r="E168" s="17">
        <f t="shared" si="6"/>
        <v>189.6440740740741</v>
      </c>
      <c r="F168" s="18">
        <f t="shared" si="7"/>
        <v>81</v>
      </c>
      <c r="G168" s="18" t="str">
        <f t="shared" si="8"/>
        <v>Sem premiação</v>
      </c>
    </row>
    <row r="169" spans="2:7" ht="20.100000000000001" customHeight="1" x14ac:dyDescent="0.25">
      <c r="B169" s="14" t="s">
        <v>231</v>
      </c>
      <c r="C169" s="15">
        <v>27</v>
      </c>
      <c r="D169" s="16">
        <v>4482.3999999999996</v>
      </c>
      <c r="E169" s="17">
        <f t="shared" si="6"/>
        <v>166.0148148148148</v>
      </c>
      <c r="F169" s="18">
        <f t="shared" si="7"/>
        <v>81</v>
      </c>
      <c r="G169" s="18" t="str">
        <f t="shared" si="8"/>
        <v>Sem premiação</v>
      </c>
    </row>
    <row r="170" spans="2:7" ht="20.100000000000001" customHeight="1" x14ac:dyDescent="0.25">
      <c r="B170" s="14" t="s">
        <v>232</v>
      </c>
      <c r="C170" s="15">
        <v>27</v>
      </c>
      <c r="D170" s="16">
        <v>3284.18</v>
      </c>
      <c r="E170" s="17">
        <f t="shared" si="6"/>
        <v>121.63629629629629</v>
      </c>
      <c r="F170" s="18">
        <f t="shared" si="7"/>
        <v>54</v>
      </c>
      <c r="G170" s="18" t="str">
        <f t="shared" si="8"/>
        <v>Sem premiação</v>
      </c>
    </row>
    <row r="171" spans="2:7" ht="20.100000000000001" customHeight="1" x14ac:dyDescent="0.25">
      <c r="B171" s="14" t="s">
        <v>233</v>
      </c>
      <c r="C171" s="15">
        <v>26</v>
      </c>
      <c r="D171" s="16">
        <v>3760.29</v>
      </c>
      <c r="E171" s="17">
        <f t="shared" si="6"/>
        <v>144.62653846153847</v>
      </c>
      <c r="F171" s="18">
        <f t="shared" si="7"/>
        <v>52</v>
      </c>
      <c r="G171" s="18" t="str">
        <f t="shared" si="8"/>
        <v>Sem premiação</v>
      </c>
    </row>
    <row r="172" spans="2:7" ht="20.100000000000001" customHeight="1" x14ac:dyDescent="0.25">
      <c r="B172" s="14" t="s">
        <v>234</v>
      </c>
      <c r="C172" s="15">
        <v>26</v>
      </c>
      <c r="D172" s="16">
        <v>3325.34</v>
      </c>
      <c r="E172" s="17">
        <f t="shared" si="6"/>
        <v>127.89769230769231</v>
      </c>
      <c r="F172" s="18">
        <f t="shared" si="7"/>
        <v>52</v>
      </c>
      <c r="G172" s="18" t="str">
        <f t="shared" si="8"/>
        <v>Sem premiação</v>
      </c>
    </row>
    <row r="173" spans="2:7" ht="20.100000000000001" customHeight="1" x14ac:dyDescent="0.25">
      <c r="B173" s="14" t="s">
        <v>235</v>
      </c>
      <c r="C173" s="15">
        <v>26</v>
      </c>
      <c r="D173" s="16">
        <v>4809.1000000000004</v>
      </c>
      <c r="E173" s="17">
        <f t="shared" si="6"/>
        <v>184.96538461538464</v>
      </c>
      <c r="F173" s="18">
        <f t="shared" si="7"/>
        <v>78</v>
      </c>
      <c r="G173" s="18" t="str">
        <f t="shared" si="8"/>
        <v>Sem premiação</v>
      </c>
    </row>
    <row r="174" spans="2:7" ht="20.100000000000001" customHeight="1" x14ac:dyDescent="0.25">
      <c r="B174" s="14" t="s">
        <v>236</v>
      </c>
      <c r="C174" s="15">
        <v>26</v>
      </c>
      <c r="D174" s="16">
        <v>3242.2</v>
      </c>
      <c r="E174" s="17">
        <f t="shared" si="6"/>
        <v>124.69999999999999</v>
      </c>
      <c r="F174" s="18">
        <f t="shared" si="7"/>
        <v>52</v>
      </c>
      <c r="G174" s="18" t="str">
        <f t="shared" si="8"/>
        <v>Sem premiação</v>
      </c>
    </row>
    <row r="175" spans="2:7" ht="20.100000000000001" customHeight="1" x14ac:dyDescent="0.25">
      <c r="B175" s="14" t="s">
        <v>237</v>
      </c>
      <c r="C175" s="15">
        <v>26</v>
      </c>
      <c r="D175" s="16">
        <v>3506.69</v>
      </c>
      <c r="E175" s="17">
        <f t="shared" si="6"/>
        <v>134.87269230769232</v>
      </c>
      <c r="F175" s="18">
        <f t="shared" si="7"/>
        <v>52</v>
      </c>
      <c r="G175" s="18" t="str">
        <f t="shared" si="8"/>
        <v>Sem premiação</v>
      </c>
    </row>
    <row r="176" spans="2:7" ht="20.100000000000001" customHeight="1" x14ac:dyDescent="0.25">
      <c r="B176" s="14" t="s">
        <v>238</v>
      </c>
      <c r="C176" s="15">
        <v>25</v>
      </c>
      <c r="D176" s="16">
        <v>3125.22</v>
      </c>
      <c r="E176" s="17">
        <f t="shared" si="6"/>
        <v>125.00879999999999</v>
      </c>
      <c r="F176" s="18">
        <f t="shared" si="7"/>
        <v>50</v>
      </c>
      <c r="G176" s="18" t="str">
        <f t="shared" si="8"/>
        <v>Sem premiação</v>
      </c>
    </row>
    <row r="177" spans="2:7" ht="20.100000000000001" customHeight="1" x14ac:dyDescent="0.25">
      <c r="B177" s="14" t="s">
        <v>239</v>
      </c>
      <c r="C177" s="15">
        <v>25</v>
      </c>
      <c r="D177" s="16">
        <v>3236.54</v>
      </c>
      <c r="E177" s="17">
        <f t="shared" si="6"/>
        <v>129.4616</v>
      </c>
      <c r="F177" s="18">
        <f t="shared" si="7"/>
        <v>50</v>
      </c>
      <c r="G177" s="18" t="str">
        <f t="shared" si="8"/>
        <v>Sem premiação</v>
      </c>
    </row>
    <row r="178" spans="2:7" ht="20.100000000000001" customHeight="1" x14ac:dyDescent="0.25">
      <c r="B178" s="14" t="s">
        <v>240</v>
      </c>
      <c r="C178" s="15">
        <v>24</v>
      </c>
      <c r="D178" s="16">
        <v>3198.11</v>
      </c>
      <c r="E178" s="17">
        <f t="shared" si="6"/>
        <v>133.25458333333333</v>
      </c>
      <c r="F178" s="18">
        <f t="shared" si="7"/>
        <v>48</v>
      </c>
      <c r="G178" s="18" t="str">
        <f t="shared" si="8"/>
        <v>Sem premiação</v>
      </c>
    </row>
    <row r="179" spans="2:7" ht="20.100000000000001" customHeight="1" x14ac:dyDescent="0.25">
      <c r="B179" s="14" t="s">
        <v>241</v>
      </c>
      <c r="C179" s="15">
        <v>24</v>
      </c>
      <c r="D179" s="16">
        <v>3331.38</v>
      </c>
      <c r="E179" s="17">
        <f t="shared" si="6"/>
        <v>138.8075</v>
      </c>
      <c r="F179" s="18">
        <f t="shared" si="7"/>
        <v>48</v>
      </c>
      <c r="G179" s="18" t="str">
        <f t="shared" si="8"/>
        <v>Sem premiação</v>
      </c>
    </row>
    <row r="180" spans="2:7" ht="20.100000000000001" customHeight="1" x14ac:dyDescent="0.25">
      <c r="B180" s="14" t="s">
        <v>242</v>
      </c>
      <c r="C180" s="15">
        <v>24</v>
      </c>
      <c r="D180" s="16">
        <v>3395.79</v>
      </c>
      <c r="E180" s="17">
        <f t="shared" si="6"/>
        <v>141.49125000000001</v>
      </c>
      <c r="F180" s="18">
        <f t="shared" si="7"/>
        <v>48</v>
      </c>
      <c r="G180" s="18" t="str">
        <f t="shared" si="8"/>
        <v>Sem premiação</v>
      </c>
    </row>
    <row r="181" spans="2:7" ht="20.100000000000001" customHeight="1" x14ac:dyDescent="0.25">
      <c r="B181" s="14" t="s">
        <v>243</v>
      </c>
      <c r="C181" s="15">
        <v>24</v>
      </c>
      <c r="D181" s="16">
        <v>4082.91</v>
      </c>
      <c r="E181" s="17">
        <f t="shared" si="6"/>
        <v>170.12125</v>
      </c>
      <c r="F181" s="18">
        <f t="shared" si="7"/>
        <v>72</v>
      </c>
      <c r="G181" s="18" t="str">
        <f t="shared" si="8"/>
        <v>Sem premiação</v>
      </c>
    </row>
    <row r="182" spans="2:7" ht="20.100000000000001" customHeight="1" x14ac:dyDescent="0.25">
      <c r="B182" s="14" t="s">
        <v>244</v>
      </c>
      <c r="C182" s="15">
        <v>24</v>
      </c>
      <c r="D182" s="16">
        <v>4555.04</v>
      </c>
      <c r="E182" s="17">
        <f t="shared" si="6"/>
        <v>189.79333333333332</v>
      </c>
      <c r="F182" s="18">
        <f t="shared" si="7"/>
        <v>72</v>
      </c>
      <c r="G182" s="18" t="str">
        <f t="shared" si="8"/>
        <v>Sem premiação</v>
      </c>
    </row>
    <row r="183" spans="2:7" ht="20.100000000000001" customHeight="1" x14ac:dyDescent="0.25">
      <c r="B183" s="14" t="s">
        <v>42</v>
      </c>
      <c r="C183" s="15">
        <v>23</v>
      </c>
      <c r="D183" s="16">
        <v>3049.93</v>
      </c>
      <c r="E183" s="17">
        <f t="shared" si="6"/>
        <v>132.60565217391303</v>
      </c>
      <c r="F183" s="18">
        <f t="shared" si="7"/>
        <v>46</v>
      </c>
      <c r="G183" s="18" t="str">
        <f t="shared" si="8"/>
        <v>Sem premiação</v>
      </c>
    </row>
    <row r="184" spans="2:7" ht="20.100000000000001" customHeight="1" x14ac:dyDescent="0.25">
      <c r="B184" s="14" t="s">
        <v>245</v>
      </c>
      <c r="C184" s="15">
        <v>23</v>
      </c>
      <c r="D184" s="16">
        <v>3452.97</v>
      </c>
      <c r="E184" s="17">
        <f t="shared" si="6"/>
        <v>150.12913043478261</v>
      </c>
      <c r="F184" s="18">
        <f t="shared" si="7"/>
        <v>69</v>
      </c>
      <c r="G184" s="18" t="str">
        <f t="shared" si="8"/>
        <v>Sem premiação</v>
      </c>
    </row>
    <row r="185" spans="2:7" ht="20.100000000000001" customHeight="1" x14ac:dyDescent="0.25">
      <c r="B185" s="14" t="s">
        <v>246</v>
      </c>
      <c r="C185" s="15">
        <v>23</v>
      </c>
      <c r="D185" s="16">
        <v>2428.04</v>
      </c>
      <c r="E185" s="17">
        <f t="shared" si="6"/>
        <v>105.56695652173913</v>
      </c>
      <c r="F185" s="18">
        <f t="shared" si="7"/>
        <v>46</v>
      </c>
      <c r="G185" s="18" t="str">
        <f t="shared" si="8"/>
        <v>Sem premiação</v>
      </c>
    </row>
    <row r="186" spans="2:7" ht="20.100000000000001" customHeight="1" x14ac:dyDescent="0.25">
      <c r="B186" s="14" t="s">
        <v>247</v>
      </c>
      <c r="C186" s="15">
        <v>23</v>
      </c>
      <c r="D186" s="16">
        <v>3612.53</v>
      </c>
      <c r="E186" s="17">
        <f t="shared" si="6"/>
        <v>157.06652173913045</v>
      </c>
      <c r="F186" s="18">
        <f t="shared" si="7"/>
        <v>69</v>
      </c>
      <c r="G186" s="18" t="str">
        <f t="shared" si="8"/>
        <v>Sem premiação</v>
      </c>
    </row>
    <row r="187" spans="2:7" ht="20.100000000000001" customHeight="1" x14ac:dyDescent="0.25">
      <c r="B187" s="14" t="s">
        <v>248</v>
      </c>
      <c r="C187" s="15">
        <v>22</v>
      </c>
      <c r="D187" s="16">
        <v>2955.67</v>
      </c>
      <c r="E187" s="17">
        <f t="shared" si="6"/>
        <v>134.34863636363636</v>
      </c>
      <c r="F187" s="18">
        <f t="shared" si="7"/>
        <v>44</v>
      </c>
      <c r="G187" s="18" t="str">
        <f t="shared" si="8"/>
        <v>Sem premiação</v>
      </c>
    </row>
    <row r="188" spans="2:7" ht="20.100000000000001" customHeight="1" x14ac:dyDescent="0.25">
      <c r="B188" s="14" t="s">
        <v>249</v>
      </c>
      <c r="C188" s="15">
        <v>22</v>
      </c>
      <c r="D188" s="16">
        <v>2881.2</v>
      </c>
      <c r="E188" s="17">
        <f t="shared" si="6"/>
        <v>130.96363636363637</v>
      </c>
      <c r="F188" s="18">
        <f t="shared" si="7"/>
        <v>44</v>
      </c>
      <c r="G188" s="18" t="str">
        <f t="shared" si="8"/>
        <v>Sem premiação</v>
      </c>
    </row>
    <row r="189" spans="2:7" ht="20.100000000000001" customHeight="1" x14ac:dyDescent="0.25">
      <c r="B189" s="14" t="s">
        <v>250</v>
      </c>
      <c r="C189" s="15">
        <v>22</v>
      </c>
      <c r="D189" s="16">
        <v>2554.86</v>
      </c>
      <c r="E189" s="17">
        <f t="shared" si="6"/>
        <v>116.13000000000001</v>
      </c>
      <c r="F189" s="18">
        <f t="shared" si="7"/>
        <v>44</v>
      </c>
      <c r="G189" s="18" t="str">
        <f t="shared" si="8"/>
        <v>Sem premiação</v>
      </c>
    </row>
    <row r="190" spans="2:7" ht="20.100000000000001" customHeight="1" x14ac:dyDescent="0.25">
      <c r="B190" s="14" t="s">
        <v>251</v>
      </c>
      <c r="C190" s="15">
        <v>22</v>
      </c>
      <c r="D190" s="16">
        <v>2809.41</v>
      </c>
      <c r="E190" s="17">
        <f t="shared" si="6"/>
        <v>127.70045454545453</v>
      </c>
      <c r="F190" s="18">
        <f t="shared" si="7"/>
        <v>44</v>
      </c>
      <c r="G190" s="18" t="str">
        <f t="shared" si="8"/>
        <v>Sem premiação</v>
      </c>
    </row>
    <row r="191" spans="2:7" ht="20.100000000000001" customHeight="1" x14ac:dyDescent="0.25">
      <c r="B191" s="14" t="s">
        <v>252</v>
      </c>
      <c r="C191" s="15">
        <v>21</v>
      </c>
      <c r="D191" s="16">
        <v>3270.74</v>
      </c>
      <c r="E191" s="17">
        <f t="shared" si="6"/>
        <v>155.74952380952379</v>
      </c>
      <c r="F191" s="18">
        <f t="shared" si="7"/>
        <v>63</v>
      </c>
      <c r="G191" s="18" t="str">
        <f t="shared" si="8"/>
        <v>Sem premiação</v>
      </c>
    </row>
    <row r="192" spans="2:7" ht="20.100000000000001" customHeight="1" x14ac:dyDescent="0.25">
      <c r="B192" s="14" t="s">
        <v>253</v>
      </c>
      <c r="C192" s="15">
        <v>21</v>
      </c>
      <c r="D192" s="16">
        <v>2082.66</v>
      </c>
      <c r="E192" s="17">
        <f t="shared" si="6"/>
        <v>99.174285714285702</v>
      </c>
      <c r="F192" s="18">
        <f t="shared" si="7"/>
        <v>21</v>
      </c>
      <c r="G192" s="18" t="str">
        <f t="shared" si="8"/>
        <v>Sem premiação</v>
      </c>
    </row>
    <row r="193" spans="2:7" ht="20.100000000000001" customHeight="1" x14ac:dyDescent="0.25">
      <c r="B193" s="14" t="s">
        <v>254</v>
      </c>
      <c r="C193" s="15">
        <v>21</v>
      </c>
      <c r="D193" s="16">
        <v>2513.61</v>
      </c>
      <c r="E193" s="17">
        <f t="shared" si="6"/>
        <v>119.69571428571429</v>
      </c>
      <c r="F193" s="18">
        <f t="shared" si="7"/>
        <v>42</v>
      </c>
      <c r="G193" s="18" t="str">
        <f t="shared" si="8"/>
        <v>Sem premiação</v>
      </c>
    </row>
    <row r="194" spans="2:7" ht="20.100000000000001" customHeight="1" x14ac:dyDescent="0.25">
      <c r="B194" s="14" t="s">
        <v>255</v>
      </c>
      <c r="C194" s="15">
        <v>21</v>
      </c>
      <c r="D194" s="16">
        <v>2121.16</v>
      </c>
      <c r="E194" s="17">
        <f t="shared" si="6"/>
        <v>101.00761904761904</v>
      </c>
      <c r="F194" s="18">
        <f t="shared" si="7"/>
        <v>42</v>
      </c>
      <c r="G194" s="18" t="str">
        <f t="shared" si="8"/>
        <v>Sem premiação</v>
      </c>
    </row>
    <row r="195" spans="2:7" ht="20.100000000000001" customHeight="1" x14ac:dyDescent="0.25">
      <c r="B195" s="14" t="s">
        <v>256</v>
      </c>
      <c r="C195" s="15">
        <v>21</v>
      </c>
      <c r="D195" s="16">
        <v>1842.99</v>
      </c>
      <c r="E195" s="17">
        <f t="shared" si="6"/>
        <v>87.761428571428567</v>
      </c>
      <c r="F195" s="18">
        <f t="shared" si="7"/>
        <v>21</v>
      </c>
      <c r="G195" s="18" t="str">
        <f t="shared" si="8"/>
        <v>Sem premiação</v>
      </c>
    </row>
    <row r="196" spans="2:7" ht="20.100000000000001" customHeight="1" x14ac:dyDescent="0.25">
      <c r="B196" s="14" t="s">
        <v>257</v>
      </c>
      <c r="C196" s="15">
        <v>21</v>
      </c>
      <c r="D196" s="16">
        <v>1931.68</v>
      </c>
      <c r="E196" s="17">
        <f t="shared" ref="E196:E259" si="9">D196/C196</f>
        <v>91.984761904761911</v>
      </c>
      <c r="F196" s="18">
        <f t="shared" ref="F196:F259" si="10">IFERROR(C196*_xlfn.XLOOKUP(E196,$J$4:$J$13,$K$4:$K$13,0,-1),0)</f>
        <v>21</v>
      </c>
      <c r="G196" s="18" t="str">
        <f t="shared" ref="G196:G259" si="11">IFERROR(VLOOKUP(F196,$J$16:$K$19,2,TRUE),"SEM PREMIAÇÃO")</f>
        <v>Sem premiação</v>
      </c>
    </row>
    <row r="197" spans="2:7" ht="20.100000000000001" customHeight="1" x14ac:dyDescent="0.25">
      <c r="B197" s="14" t="s">
        <v>258</v>
      </c>
      <c r="C197" s="15">
        <v>21</v>
      </c>
      <c r="D197" s="16">
        <v>2155.04</v>
      </c>
      <c r="E197" s="17">
        <f t="shared" si="9"/>
        <v>102.62095238095237</v>
      </c>
      <c r="F197" s="18">
        <f t="shared" si="10"/>
        <v>42</v>
      </c>
      <c r="G197" s="18" t="str">
        <f t="shared" si="11"/>
        <v>Sem premiação</v>
      </c>
    </row>
    <row r="198" spans="2:7" ht="20.100000000000001" customHeight="1" x14ac:dyDescent="0.25">
      <c r="B198" s="14" t="s">
        <v>259</v>
      </c>
      <c r="C198" s="15">
        <v>21</v>
      </c>
      <c r="D198" s="16">
        <v>3916.04</v>
      </c>
      <c r="E198" s="17">
        <f t="shared" si="9"/>
        <v>186.47809523809525</v>
      </c>
      <c r="F198" s="18">
        <f t="shared" si="10"/>
        <v>63</v>
      </c>
      <c r="G198" s="18" t="str">
        <f t="shared" si="11"/>
        <v>Sem premiação</v>
      </c>
    </row>
    <row r="199" spans="2:7" ht="20.100000000000001" customHeight="1" x14ac:dyDescent="0.25">
      <c r="B199" s="14" t="s">
        <v>260</v>
      </c>
      <c r="C199" s="15">
        <v>21</v>
      </c>
      <c r="D199" s="16">
        <v>4048.05</v>
      </c>
      <c r="E199" s="17">
        <f t="shared" si="9"/>
        <v>192.76428571428573</v>
      </c>
      <c r="F199" s="18">
        <f t="shared" si="10"/>
        <v>63</v>
      </c>
      <c r="G199" s="18" t="str">
        <f t="shared" si="11"/>
        <v>Sem premiação</v>
      </c>
    </row>
    <row r="200" spans="2:7" ht="20.100000000000001" customHeight="1" x14ac:dyDescent="0.25">
      <c r="B200" s="14" t="s">
        <v>261</v>
      </c>
      <c r="C200" s="15">
        <v>21</v>
      </c>
      <c r="D200" s="16">
        <v>2295.4899999999998</v>
      </c>
      <c r="E200" s="17">
        <f t="shared" si="9"/>
        <v>109.3090476190476</v>
      </c>
      <c r="F200" s="18">
        <f t="shared" si="10"/>
        <v>42</v>
      </c>
      <c r="G200" s="18" t="str">
        <f t="shared" si="11"/>
        <v>Sem premiação</v>
      </c>
    </row>
    <row r="201" spans="2:7" ht="20.100000000000001" customHeight="1" x14ac:dyDescent="0.25">
      <c r="B201" s="14" t="s">
        <v>262</v>
      </c>
      <c r="C201" s="15">
        <v>20</v>
      </c>
      <c r="D201" s="16">
        <v>3523.91</v>
      </c>
      <c r="E201" s="17">
        <f t="shared" si="9"/>
        <v>176.19549999999998</v>
      </c>
      <c r="F201" s="18">
        <f t="shared" si="10"/>
        <v>60</v>
      </c>
      <c r="G201" s="18" t="str">
        <f t="shared" si="11"/>
        <v>Sem premiação</v>
      </c>
    </row>
    <row r="202" spans="2:7" ht="20.100000000000001" customHeight="1" x14ac:dyDescent="0.25">
      <c r="B202" s="14" t="s">
        <v>263</v>
      </c>
      <c r="C202" s="15">
        <v>20</v>
      </c>
      <c r="D202" s="16">
        <v>3909.62</v>
      </c>
      <c r="E202" s="17">
        <f t="shared" si="9"/>
        <v>195.48099999999999</v>
      </c>
      <c r="F202" s="18">
        <f t="shared" si="10"/>
        <v>60</v>
      </c>
      <c r="G202" s="18" t="str">
        <f t="shared" si="11"/>
        <v>Sem premiação</v>
      </c>
    </row>
    <row r="203" spans="2:7" ht="20.100000000000001" customHeight="1" x14ac:dyDescent="0.25">
      <c r="B203" s="14" t="s">
        <v>264</v>
      </c>
      <c r="C203" s="15">
        <v>20</v>
      </c>
      <c r="D203" s="16">
        <v>2622.48</v>
      </c>
      <c r="E203" s="17">
        <f t="shared" si="9"/>
        <v>131.124</v>
      </c>
      <c r="F203" s="18">
        <f t="shared" si="10"/>
        <v>40</v>
      </c>
      <c r="G203" s="18" t="str">
        <f t="shared" si="11"/>
        <v>Sem premiação</v>
      </c>
    </row>
    <row r="204" spans="2:7" ht="20.100000000000001" customHeight="1" x14ac:dyDescent="0.25">
      <c r="B204" s="14" t="s">
        <v>265</v>
      </c>
      <c r="C204" s="15">
        <v>20</v>
      </c>
      <c r="D204" s="16">
        <v>2551.87</v>
      </c>
      <c r="E204" s="17">
        <f t="shared" si="9"/>
        <v>127.59349999999999</v>
      </c>
      <c r="F204" s="18">
        <f t="shared" si="10"/>
        <v>40</v>
      </c>
      <c r="G204" s="18" t="str">
        <f t="shared" si="11"/>
        <v>Sem premiação</v>
      </c>
    </row>
    <row r="205" spans="2:7" ht="20.100000000000001" customHeight="1" x14ac:dyDescent="0.25">
      <c r="B205" s="14" t="s">
        <v>266</v>
      </c>
      <c r="C205" s="15">
        <v>20</v>
      </c>
      <c r="D205" s="16">
        <v>2688.69</v>
      </c>
      <c r="E205" s="17">
        <f t="shared" si="9"/>
        <v>134.43450000000001</v>
      </c>
      <c r="F205" s="18">
        <f t="shared" si="10"/>
        <v>40</v>
      </c>
      <c r="G205" s="18" t="str">
        <f t="shared" si="11"/>
        <v>Sem premiação</v>
      </c>
    </row>
    <row r="206" spans="2:7" ht="20.100000000000001" customHeight="1" x14ac:dyDescent="0.25">
      <c r="B206" s="14" t="s">
        <v>267</v>
      </c>
      <c r="C206" s="15">
        <v>20</v>
      </c>
      <c r="D206" s="16">
        <v>3348.32</v>
      </c>
      <c r="E206" s="17">
        <f t="shared" si="9"/>
        <v>167.416</v>
      </c>
      <c r="F206" s="18">
        <f t="shared" si="10"/>
        <v>60</v>
      </c>
      <c r="G206" s="18" t="str">
        <f t="shared" si="11"/>
        <v>Sem premiação</v>
      </c>
    </row>
    <row r="207" spans="2:7" ht="20.100000000000001" customHeight="1" x14ac:dyDescent="0.25">
      <c r="B207" s="14" t="s">
        <v>268</v>
      </c>
      <c r="C207" s="15">
        <v>20</v>
      </c>
      <c r="D207" s="16">
        <v>2629.71</v>
      </c>
      <c r="E207" s="17">
        <f t="shared" si="9"/>
        <v>131.4855</v>
      </c>
      <c r="F207" s="18">
        <f t="shared" si="10"/>
        <v>40</v>
      </c>
      <c r="G207" s="18" t="str">
        <f t="shared" si="11"/>
        <v>Sem premiação</v>
      </c>
    </row>
    <row r="208" spans="2:7" ht="20.100000000000001" customHeight="1" x14ac:dyDescent="0.25">
      <c r="B208" s="14" t="s">
        <v>269</v>
      </c>
      <c r="C208" s="15">
        <v>20</v>
      </c>
      <c r="D208" s="16">
        <v>2066.7399999999998</v>
      </c>
      <c r="E208" s="17">
        <f t="shared" si="9"/>
        <v>103.33699999999999</v>
      </c>
      <c r="F208" s="18">
        <f t="shared" si="10"/>
        <v>40</v>
      </c>
      <c r="G208" s="18" t="str">
        <f t="shared" si="11"/>
        <v>Sem premiação</v>
      </c>
    </row>
    <row r="209" spans="2:7" ht="20.100000000000001" customHeight="1" x14ac:dyDescent="0.25">
      <c r="B209" s="14" t="s">
        <v>270</v>
      </c>
      <c r="C209" s="15">
        <v>20</v>
      </c>
      <c r="D209" s="16">
        <v>5229.1000000000004</v>
      </c>
      <c r="E209" s="17">
        <f t="shared" si="9"/>
        <v>261.45500000000004</v>
      </c>
      <c r="F209" s="18">
        <f t="shared" si="10"/>
        <v>100</v>
      </c>
      <c r="G209" s="18" t="str">
        <f t="shared" si="11"/>
        <v>Sem premiação</v>
      </c>
    </row>
    <row r="210" spans="2:7" ht="20.100000000000001" customHeight="1" x14ac:dyDescent="0.25">
      <c r="B210" s="14" t="s">
        <v>271</v>
      </c>
      <c r="C210" s="15">
        <v>20</v>
      </c>
      <c r="D210" s="16">
        <v>2650</v>
      </c>
      <c r="E210" s="17">
        <f t="shared" si="9"/>
        <v>132.5</v>
      </c>
      <c r="F210" s="18">
        <f t="shared" si="10"/>
        <v>40</v>
      </c>
      <c r="G210" s="18" t="str">
        <f t="shared" si="11"/>
        <v>Sem premiação</v>
      </c>
    </row>
    <row r="211" spans="2:7" ht="20.100000000000001" customHeight="1" x14ac:dyDescent="0.25">
      <c r="B211" s="14" t="s">
        <v>272</v>
      </c>
      <c r="C211" s="15">
        <v>20</v>
      </c>
      <c r="D211" s="16">
        <v>2624.07</v>
      </c>
      <c r="E211" s="17">
        <f t="shared" si="9"/>
        <v>131.20350000000002</v>
      </c>
      <c r="F211" s="18">
        <f t="shared" si="10"/>
        <v>40</v>
      </c>
      <c r="G211" s="18" t="str">
        <f t="shared" si="11"/>
        <v>Sem premiação</v>
      </c>
    </row>
    <row r="212" spans="2:7" ht="20.100000000000001" customHeight="1" x14ac:dyDescent="0.25">
      <c r="B212" s="14" t="s">
        <v>273</v>
      </c>
      <c r="C212" s="15">
        <v>20</v>
      </c>
      <c r="D212" s="16">
        <v>2348.38</v>
      </c>
      <c r="E212" s="17">
        <f t="shared" si="9"/>
        <v>117.41900000000001</v>
      </c>
      <c r="F212" s="18">
        <f t="shared" si="10"/>
        <v>40</v>
      </c>
      <c r="G212" s="18" t="str">
        <f t="shared" si="11"/>
        <v>Sem premiação</v>
      </c>
    </row>
    <row r="213" spans="2:7" ht="20.100000000000001" customHeight="1" x14ac:dyDescent="0.25">
      <c r="B213" s="14" t="s">
        <v>274</v>
      </c>
      <c r="C213" s="15">
        <v>20</v>
      </c>
      <c r="D213" s="16">
        <v>2797.41</v>
      </c>
      <c r="E213" s="17">
        <f t="shared" si="9"/>
        <v>139.87049999999999</v>
      </c>
      <c r="F213" s="18">
        <f t="shared" si="10"/>
        <v>40</v>
      </c>
      <c r="G213" s="18" t="str">
        <f t="shared" si="11"/>
        <v>Sem premiação</v>
      </c>
    </row>
    <row r="214" spans="2:7" ht="20.100000000000001" customHeight="1" x14ac:dyDescent="0.25">
      <c r="B214" s="14" t="s">
        <v>275</v>
      </c>
      <c r="C214" s="15">
        <v>19</v>
      </c>
      <c r="D214" s="16">
        <v>2498.5500000000002</v>
      </c>
      <c r="E214" s="17">
        <f t="shared" si="9"/>
        <v>131.50263157894739</v>
      </c>
      <c r="F214" s="18">
        <f t="shared" si="10"/>
        <v>38</v>
      </c>
      <c r="G214" s="18" t="str">
        <f t="shared" si="11"/>
        <v>Sem premiação</v>
      </c>
    </row>
    <row r="215" spans="2:7" ht="20.100000000000001" customHeight="1" x14ac:dyDescent="0.25">
      <c r="B215" s="14" t="s">
        <v>276</v>
      </c>
      <c r="C215" s="15">
        <v>19</v>
      </c>
      <c r="D215" s="16">
        <v>2559.75</v>
      </c>
      <c r="E215" s="17">
        <f t="shared" si="9"/>
        <v>134.72368421052633</v>
      </c>
      <c r="F215" s="18">
        <f t="shared" si="10"/>
        <v>38</v>
      </c>
      <c r="G215" s="18" t="str">
        <f t="shared" si="11"/>
        <v>Sem premiação</v>
      </c>
    </row>
    <row r="216" spans="2:7" ht="20.100000000000001" customHeight="1" x14ac:dyDescent="0.25">
      <c r="B216" s="14" t="s">
        <v>277</v>
      </c>
      <c r="C216" s="15">
        <v>19</v>
      </c>
      <c r="D216" s="16">
        <v>2173.11</v>
      </c>
      <c r="E216" s="17">
        <f t="shared" si="9"/>
        <v>114.37421052631579</v>
      </c>
      <c r="F216" s="18">
        <f t="shared" si="10"/>
        <v>38</v>
      </c>
      <c r="G216" s="18" t="str">
        <f t="shared" si="11"/>
        <v>Sem premiação</v>
      </c>
    </row>
    <row r="217" spans="2:7" ht="20.100000000000001" customHeight="1" x14ac:dyDescent="0.25">
      <c r="B217" s="14" t="s">
        <v>278</v>
      </c>
      <c r="C217" s="15">
        <v>19</v>
      </c>
      <c r="D217" s="16">
        <v>2692.15</v>
      </c>
      <c r="E217" s="17">
        <f t="shared" si="9"/>
        <v>141.69210526315791</v>
      </c>
      <c r="F217" s="18">
        <f t="shared" si="10"/>
        <v>38</v>
      </c>
      <c r="G217" s="18" t="str">
        <f t="shared" si="11"/>
        <v>Sem premiação</v>
      </c>
    </row>
    <row r="218" spans="2:7" ht="20.100000000000001" customHeight="1" x14ac:dyDescent="0.25">
      <c r="B218" s="14" t="s">
        <v>279</v>
      </c>
      <c r="C218" s="15">
        <v>19</v>
      </c>
      <c r="D218" s="16">
        <v>2375.83</v>
      </c>
      <c r="E218" s="17">
        <f t="shared" si="9"/>
        <v>125.04368421052631</v>
      </c>
      <c r="F218" s="18">
        <f t="shared" si="10"/>
        <v>38</v>
      </c>
      <c r="G218" s="18" t="str">
        <f t="shared" si="11"/>
        <v>Sem premiação</v>
      </c>
    </row>
    <row r="219" spans="2:7" ht="20.100000000000001" customHeight="1" x14ac:dyDescent="0.25">
      <c r="B219" s="14" t="s">
        <v>280</v>
      </c>
      <c r="C219" s="15">
        <v>19</v>
      </c>
      <c r="D219" s="16">
        <v>3869.19</v>
      </c>
      <c r="E219" s="17">
        <f t="shared" si="9"/>
        <v>203.64157894736843</v>
      </c>
      <c r="F219" s="18">
        <f t="shared" si="10"/>
        <v>76</v>
      </c>
      <c r="G219" s="18" t="str">
        <f t="shared" si="11"/>
        <v>Sem premiação</v>
      </c>
    </row>
    <row r="220" spans="2:7" ht="20.100000000000001" customHeight="1" x14ac:dyDescent="0.25">
      <c r="B220" s="14" t="s">
        <v>281</v>
      </c>
      <c r="C220" s="15">
        <v>19</v>
      </c>
      <c r="D220" s="16">
        <v>2474.5700000000002</v>
      </c>
      <c r="E220" s="17">
        <f t="shared" si="9"/>
        <v>130.24052631578948</v>
      </c>
      <c r="F220" s="18">
        <f t="shared" si="10"/>
        <v>38</v>
      </c>
      <c r="G220" s="18" t="str">
        <f t="shared" si="11"/>
        <v>Sem premiação</v>
      </c>
    </row>
    <row r="221" spans="2:7" ht="20.100000000000001" customHeight="1" x14ac:dyDescent="0.25">
      <c r="B221" s="14" t="s">
        <v>282</v>
      </c>
      <c r="C221" s="15">
        <v>18</v>
      </c>
      <c r="D221" s="16">
        <v>3030.65</v>
      </c>
      <c r="E221" s="17">
        <f t="shared" si="9"/>
        <v>168.36944444444444</v>
      </c>
      <c r="F221" s="18">
        <f t="shared" si="10"/>
        <v>54</v>
      </c>
      <c r="G221" s="18" t="str">
        <f t="shared" si="11"/>
        <v>Sem premiação</v>
      </c>
    </row>
    <row r="222" spans="2:7" ht="20.100000000000001" customHeight="1" x14ac:dyDescent="0.25">
      <c r="B222" s="14" t="s">
        <v>283</v>
      </c>
      <c r="C222" s="15">
        <v>18</v>
      </c>
      <c r="D222" s="16">
        <v>2135.17</v>
      </c>
      <c r="E222" s="17">
        <f t="shared" si="9"/>
        <v>118.62055555555555</v>
      </c>
      <c r="F222" s="18">
        <f t="shared" si="10"/>
        <v>36</v>
      </c>
      <c r="G222" s="18" t="str">
        <f t="shared" si="11"/>
        <v>Sem premiação</v>
      </c>
    </row>
    <row r="223" spans="2:7" ht="20.100000000000001" customHeight="1" x14ac:dyDescent="0.25">
      <c r="B223" s="14" t="s">
        <v>284</v>
      </c>
      <c r="C223" s="15">
        <v>18</v>
      </c>
      <c r="D223" s="16">
        <v>1366.05</v>
      </c>
      <c r="E223" s="17">
        <f t="shared" si="9"/>
        <v>75.891666666666666</v>
      </c>
      <c r="F223" s="18">
        <f t="shared" si="10"/>
        <v>18</v>
      </c>
      <c r="G223" s="18" t="str">
        <f t="shared" si="11"/>
        <v>Sem premiação</v>
      </c>
    </row>
    <row r="224" spans="2:7" ht="20.100000000000001" customHeight="1" x14ac:dyDescent="0.25">
      <c r="B224" s="14" t="s">
        <v>285</v>
      </c>
      <c r="C224" s="15">
        <v>18</v>
      </c>
      <c r="D224" s="16">
        <v>2454.5300000000002</v>
      </c>
      <c r="E224" s="17">
        <f t="shared" si="9"/>
        <v>136.36277777777778</v>
      </c>
      <c r="F224" s="18">
        <f t="shared" si="10"/>
        <v>36</v>
      </c>
      <c r="G224" s="18" t="str">
        <f t="shared" si="11"/>
        <v>Sem premiação</v>
      </c>
    </row>
    <row r="225" spans="2:7" ht="20.100000000000001" customHeight="1" x14ac:dyDescent="0.25">
      <c r="B225" s="14" t="s">
        <v>286</v>
      </c>
      <c r="C225" s="15">
        <v>18</v>
      </c>
      <c r="D225" s="16">
        <v>2429.41</v>
      </c>
      <c r="E225" s="17">
        <f t="shared" si="9"/>
        <v>134.9672222222222</v>
      </c>
      <c r="F225" s="18">
        <f t="shared" si="10"/>
        <v>36</v>
      </c>
      <c r="G225" s="18" t="str">
        <f t="shared" si="11"/>
        <v>Sem premiação</v>
      </c>
    </row>
    <row r="226" spans="2:7" ht="20.100000000000001" customHeight="1" x14ac:dyDescent="0.25">
      <c r="B226" s="14" t="s">
        <v>287</v>
      </c>
      <c r="C226" s="15">
        <v>18</v>
      </c>
      <c r="D226" s="16">
        <v>1812.1</v>
      </c>
      <c r="E226" s="17">
        <f t="shared" si="9"/>
        <v>100.67222222222222</v>
      </c>
      <c r="F226" s="18">
        <f t="shared" si="10"/>
        <v>36</v>
      </c>
      <c r="G226" s="18" t="str">
        <f t="shared" si="11"/>
        <v>Sem premiação</v>
      </c>
    </row>
    <row r="227" spans="2:7" ht="20.100000000000001" customHeight="1" x14ac:dyDescent="0.25">
      <c r="B227" s="14" t="s">
        <v>288</v>
      </c>
      <c r="C227" s="15">
        <v>18</v>
      </c>
      <c r="D227" s="16">
        <v>2409.63</v>
      </c>
      <c r="E227" s="17">
        <f t="shared" si="9"/>
        <v>133.86833333333334</v>
      </c>
      <c r="F227" s="18">
        <f t="shared" si="10"/>
        <v>36</v>
      </c>
      <c r="G227" s="18" t="str">
        <f t="shared" si="11"/>
        <v>Sem premiação</v>
      </c>
    </row>
    <row r="228" spans="2:7" ht="20.100000000000001" customHeight="1" x14ac:dyDescent="0.25">
      <c r="B228" s="14" t="s">
        <v>289</v>
      </c>
      <c r="C228" s="15">
        <v>18</v>
      </c>
      <c r="D228" s="16">
        <v>2698.25</v>
      </c>
      <c r="E228" s="17">
        <f t="shared" si="9"/>
        <v>149.90277777777777</v>
      </c>
      <c r="F228" s="18">
        <f t="shared" si="10"/>
        <v>36</v>
      </c>
      <c r="G228" s="18" t="str">
        <f t="shared" si="11"/>
        <v>Sem premiação</v>
      </c>
    </row>
    <row r="229" spans="2:7" ht="20.100000000000001" customHeight="1" x14ac:dyDescent="0.25">
      <c r="B229" s="14" t="s">
        <v>290</v>
      </c>
      <c r="C229" s="15">
        <v>17</v>
      </c>
      <c r="D229" s="16">
        <v>2838.35</v>
      </c>
      <c r="E229" s="17">
        <f t="shared" si="9"/>
        <v>166.96176470588236</v>
      </c>
      <c r="F229" s="18">
        <f t="shared" si="10"/>
        <v>51</v>
      </c>
      <c r="G229" s="18" t="str">
        <f t="shared" si="11"/>
        <v>Sem premiação</v>
      </c>
    </row>
    <row r="230" spans="2:7" ht="20.100000000000001" customHeight="1" x14ac:dyDescent="0.25">
      <c r="B230" s="14" t="s">
        <v>291</v>
      </c>
      <c r="C230" s="15">
        <v>17</v>
      </c>
      <c r="D230" s="16">
        <v>1732.05</v>
      </c>
      <c r="E230" s="17">
        <f t="shared" si="9"/>
        <v>101.88529411764705</v>
      </c>
      <c r="F230" s="18">
        <f t="shared" si="10"/>
        <v>34</v>
      </c>
      <c r="G230" s="18" t="str">
        <f t="shared" si="11"/>
        <v>Sem premiação</v>
      </c>
    </row>
    <row r="231" spans="2:7" ht="20.100000000000001" customHeight="1" x14ac:dyDescent="0.25">
      <c r="B231" s="14" t="s">
        <v>292</v>
      </c>
      <c r="C231" s="15">
        <v>17</v>
      </c>
      <c r="D231" s="16">
        <v>2863.22</v>
      </c>
      <c r="E231" s="17">
        <f t="shared" si="9"/>
        <v>168.42470588235292</v>
      </c>
      <c r="F231" s="18">
        <f t="shared" si="10"/>
        <v>51</v>
      </c>
      <c r="G231" s="18" t="str">
        <f t="shared" si="11"/>
        <v>Sem premiação</v>
      </c>
    </row>
    <row r="232" spans="2:7" ht="20.100000000000001" customHeight="1" x14ac:dyDescent="0.25">
      <c r="B232" s="14" t="s">
        <v>293</v>
      </c>
      <c r="C232" s="15">
        <v>17</v>
      </c>
      <c r="D232" s="16">
        <v>2075.1799999999998</v>
      </c>
      <c r="E232" s="17">
        <f t="shared" si="9"/>
        <v>122.06941176470588</v>
      </c>
      <c r="F232" s="18">
        <f t="shared" si="10"/>
        <v>34</v>
      </c>
      <c r="G232" s="18" t="str">
        <f t="shared" si="11"/>
        <v>Sem premiação</v>
      </c>
    </row>
    <row r="233" spans="2:7" ht="20.100000000000001" customHeight="1" x14ac:dyDescent="0.25">
      <c r="B233" s="14" t="s">
        <v>294</v>
      </c>
      <c r="C233" s="15">
        <v>17</v>
      </c>
      <c r="D233" s="16">
        <v>1819.44</v>
      </c>
      <c r="E233" s="17">
        <f t="shared" si="9"/>
        <v>107.02588235294118</v>
      </c>
      <c r="F233" s="18">
        <f t="shared" si="10"/>
        <v>34</v>
      </c>
      <c r="G233" s="18" t="str">
        <f t="shared" si="11"/>
        <v>Sem premiação</v>
      </c>
    </row>
    <row r="234" spans="2:7" ht="20.100000000000001" customHeight="1" x14ac:dyDescent="0.25">
      <c r="B234" s="14" t="s">
        <v>295</v>
      </c>
      <c r="C234" s="15">
        <v>17</v>
      </c>
      <c r="D234" s="16">
        <v>3211.38</v>
      </c>
      <c r="E234" s="17">
        <f t="shared" si="9"/>
        <v>188.90470588235294</v>
      </c>
      <c r="F234" s="18">
        <f t="shared" si="10"/>
        <v>51</v>
      </c>
      <c r="G234" s="18" t="str">
        <f t="shared" si="11"/>
        <v>Sem premiação</v>
      </c>
    </row>
    <row r="235" spans="2:7" ht="20.100000000000001" customHeight="1" x14ac:dyDescent="0.25">
      <c r="B235" s="14" t="s">
        <v>296</v>
      </c>
      <c r="C235" s="15">
        <v>17</v>
      </c>
      <c r="D235" s="16">
        <v>1990.19</v>
      </c>
      <c r="E235" s="17">
        <f t="shared" si="9"/>
        <v>117.07000000000001</v>
      </c>
      <c r="F235" s="18">
        <f t="shared" si="10"/>
        <v>34</v>
      </c>
      <c r="G235" s="18" t="str">
        <f t="shared" si="11"/>
        <v>Sem premiação</v>
      </c>
    </row>
    <row r="236" spans="2:7" ht="20.100000000000001" customHeight="1" x14ac:dyDescent="0.25">
      <c r="B236" s="14" t="s">
        <v>297</v>
      </c>
      <c r="C236" s="15">
        <v>17</v>
      </c>
      <c r="D236" s="16">
        <v>2071.1999999999998</v>
      </c>
      <c r="E236" s="17">
        <f t="shared" si="9"/>
        <v>121.83529411764705</v>
      </c>
      <c r="F236" s="18">
        <f t="shared" si="10"/>
        <v>34</v>
      </c>
      <c r="G236" s="18" t="str">
        <f t="shared" si="11"/>
        <v>Sem premiação</v>
      </c>
    </row>
    <row r="237" spans="2:7" ht="20.100000000000001" customHeight="1" x14ac:dyDescent="0.25">
      <c r="B237" s="14" t="s">
        <v>298</v>
      </c>
      <c r="C237" s="15">
        <v>17</v>
      </c>
      <c r="D237" s="16">
        <v>1767.43</v>
      </c>
      <c r="E237" s="17">
        <f t="shared" si="9"/>
        <v>103.9664705882353</v>
      </c>
      <c r="F237" s="18">
        <f t="shared" si="10"/>
        <v>34</v>
      </c>
      <c r="G237" s="18" t="str">
        <f t="shared" si="11"/>
        <v>Sem premiação</v>
      </c>
    </row>
    <row r="238" spans="2:7" ht="20.100000000000001" customHeight="1" x14ac:dyDescent="0.25">
      <c r="B238" s="14" t="s">
        <v>299</v>
      </c>
      <c r="C238" s="15">
        <v>16</v>
      </c>
      <c r="D238" s="16">
        <v>2203.2800000000002</v>
      </c>
      <c r="E238" s="17">
        <f t="shared" si="9"/>
        <v>137.70500000000001</v>
      </c>
      <c r="F238" s="18">
        <f t="shared" si="10"/>
        <v>32</v>
      </c>
      <c r="G238" s="18" t="str">
        <f t="shared" si="11"/>
        <v>Sem premiação</v>
      </c>
    </row>
    <row r="239" spans="2:7" ht="20.100000000000001" customHeight="1" x14ac:dyDescent="0.25">
      <c r="B239" s="14" t="s">
        <v>300</v>
      </c>
      <c r="C239" s="15">
        <v>16</v>
      </c>
      <c r="D239" s="16">
        <v>1523.87</v>
      </c>
      <c r="E239" s="17">
        <f t="shared" si="9"/>
        <v>95.241874999999993</v>
      </c>
      <c r="F239" s="18">
        <f t="shared" si="10"/>
        <v>16</v>
      </c>
      <c r="G239" s="18" t="str">
        <f t="shared" si="11"/>
        <v>Sem premiação</v>
      </c>
    </row>
    <row r="240" spans="2:7" ht="20.100000000000001" customHeight="1" x14ac:dyDescent="0.25">
      <c r="B240" s="14" t="s">
        <v>301</v>
      </c>
      <c r="C240" s="15">
        <v>16</v>
      </c>
      <c r="D240" s="16">
        <v>2626.93</v>
      </c>
      <c r="E240" s="17">
        <f t="shared" si="9"/>
        <v>164.18312499999999</v>
      </c>
      <c r="F240" s="18">
        <f t="shared" si="10"/>
        <v>48</v>
      </c>
      <c r="G240" s="18" t="str">
        <f t="shared" si="11"/>
        <v>Sem premiação</v>
      </c>
    </row>
    <row r="241" spans="2:7" ht="20.100000000000001" customHeight="1" x14ac:dyDescent="0.25">
      <c r="B241" s="14" t="s">
        <v>302</v>
      </c>
      <c r="C241" s="15">
        <v>16</v>
      </c>
      <c r="D241" s="16">
        <v>2522.3200000000002</v>
      </c>
      <c r="E241" s="17">
        <f t="shared" si="9"/>
        <v>157.64500000000001</v>
      </c>
      <c r="F241" s="18">
        <f t="shared" si="10"/>
        <v>48</v>
      </c>
      <c r="G241" s="18" t="str">
        <f t="shared" si="11"/>
        <v>Sem premiação</v>
      </c>
    </row>
    <row r="242" spans="2:7" ht="20.100000000000001" customHeight="1" x14ac:dyDescent="0.25">
      <c r="B242" s="14" t="s">
        <v>303</v>
      </c>
      <c r="C242" s="15">
        <v>16</v>
      </c>
      <c r="D242" s="16">
        <v>2199.13</v>
      </c>
      <c r="E242" s="17">
        <f t="shared" si="9"/>
        <v>137.44562500000001</v>
      </c>
      <c r="F242" s="18">
        <f t="shared" si="10"/>
        <v>32</v>
      </c>
      <c r="G242" s="18" t="str">
        <f t="shared" si="11"/>
        <v>Sem premiação</v>
      </c>
    </row>
    <row r="243" spans="2:7" ht="20.100000000000001" customHeight="1" x14ac:dyDescent="0.25">
      <c r="B243" s="14" t="s">
        <v>304</v>
      </c>
      <c r="C243" s="15">
        <v>16</v>
      </c>
      <c r="D243" s="16">
        <v>2020.51</v>
      </c>
      <c r="E243" s="17">
        <f t="shared" si="9"/>
        <v>126.281875</v>
      </c>
      <c r="F243" s="18">
        <f t="shared" si="10"/>
        <v>32</v>
      </c>
      <c r="G243" s="18" t="str">
        <f t="shared" si="11"/>
        <v>Sem premiação</v>
      </c>
    </row>
    <row r="244" spans="2:7" ht="20.100000000000001" customHeight="1" x14ac:dyDescent="0.25">
      <c r="B244" s="14" t="s">
        <v>305</v>
      </c>
      <c r="C244" s="15">
        <v>16</v>
      </c>
      <c r="D244" s="16">
        <v>3613.73</v>
      </c>
      <c r="E244" s="17">
        <f t="shared" si="9"/>
        <v>225.858125</v>
      </c>
      <c r="F244" s="18">
        <f t="shared" si="10"/>
        <v>64</v>
      </c>
      <c r="G244" s="18" t="str">
        <f t="shared" si="11"/>
        <v>Sem premiação</v>
      </c>
    </row>
    <row r="245" spans="2:7" ht="20.100000000000001" customHeight="1" x14ac:dyDescent="0.25">
      <c r="B245" s="14" t="s">
        <v>306</v>
      </c>
      <c r="C245" s="15">
        <v>16</v>
      </c>
      <c r="D245" s="16">
        <v>3164.64</v>
      </c>
      <c r="E245" s="17">
        <f t="shared" si="9"/>
        <v>197.79</v>
      </c>
      <c r="F245" s="18">
        <f t="shared" si="10"/>
        <v>48</v>
      </c>
      <c r="G245" s="18" t="str">
        <f t="shared" si="11"/>
        <v>Sem premiação</v>
      </c>
    </row>
    <row r="246" spans="2:7" ht="20.100000000000001" customHeight="1" x14ac:dyDescent="0.25">
      <c r="B246" s="14" t="s">
        <v>307</v>
      </c>
      <c r="C246" s="15">
        <v>16</v>
      </c>
      <c r="D246" s="16">
        <v>5133.67</v>
      </c>
      <c r="E246" s="17">
        <f t="shared" si="9"/>
        <v>320.854375</v>
      </c>
      <c r="F246" s="18">
        <f t="shared" si="10"/>
        <v>96</v>
      </c>
      <c r="G246" s="18" t="str">
        <f t="shared" si="11"/>
        <v>Sem premiação</v>
      </c>
    </row>
    <row r="247" spans="2:7" ht="20.100000000000001" customHeight="1" x14ac:dyDescent="0.25">
      <c r="B247" s="14" t="s">
        <v>308</v>
      </c>
      <c r="C247" s="15">
        <v>16</v>
      </c>
      <c r="D247" s="16">
        <v>2174</v>
      </c>
      <c r="E247" s="17">
        <f t="shared" si="9"/>
        <v>135.875</v>
      </c>
      <c r="F247" s="18">
        <f t="shared" si="10"/>
        <v>32</v>
      </c>
      <c r="G247" s="18" t="str">
        <f t="shared" si="11"/>
        <v>Sem premiação</v>
      </c>
    </row>
    <row r="248" spans="2:7" ht="20.100000000000001" customHeight="1" x14ac:dyDescent="0.25">
      <c r="B248" s="14" t="s">
        <v>309</v>
      </c>
      <c r="C248" s="15">
        <v>16</v>
      </c>
      <c r="D248" s="16">
        <v>1942.43</v>
      </c>
      <c r="E248" s="17">
        <f t="shared" si="9"/>
        <v>121.401875</v>
      </c>
      <c r="F248" s="18">
        <f t="shared" si="10"/>
        <v>32</v>
      </c>
      <c r="G248" s="18" t="str">
        <f t="shared" si="11"/>
        <v>Sem premiação</v>
      </c>
    </row>
    <row r="249" spans="2:7" ht="20.100000000000001" customHeight="1" x14ac:dyDescent="0.25">
      <c r="B249" s="14" t="s">
        <v>310</v>
      </c>
      <c r="C249" s="15">
        <v>15</v>
      </c>
      <c r="D249" s="16">
        <v>3368.49</v>
      </c>
      <c r="E249" s="17">
        <f t="shared" si="9"/>
        <v>224.56599999999997</v>
      </c>
      <c r="F249" s="18">
        <f t="shared" si="10"/>
        <v>60</v>
      </c>
      <c r="G249" s="18" t="str">
        <f t="shared" si="11"/>
        <v>Sem premiação</v>
      </c>
    </row>
    <row r="250" spans="2:7" ht="20.100000000000001" customHeight="1" x14ac:dyDescent="0.25">
      <c r="B250" s="14" t="s">
        <v>311</v>
      </c>
      <c r="C250" s="15">
        <v>15</v>
      </c>
      <c r="D250" s="16">
        <v>2764.97</v>
      </c>
      <c r="E250" s="17">
        <f t="shared" si="9"/>
        <v>184.33133333333333</v>
      </c>
      <c r="F250" s="18">
        <f t="shared" si="10"/>
        <v>45</v>
      </c>
      <c r="G250" s="18" t="str">
        <f t="shared" si="11"/>
        <v>Sem premiação</v>
      </c>
    </row>
    <row r="251" spans="2:7" ht="20.100000000000001" customHeight="1" x14ac:dyDescent="0.25">
      <c r="B251" s="14" t="s">
        <v>312</v>
      </c>
      <c r="C251" s="15">
        <v>15</v>
      </c>
      <c r="D251" s="16">
        <v>1611.4</v>
      </c>
      <c r="E251" s="17">
        <f t="shared" si="9"/>
        <v>107.42666666666668</v>
      </c>
      <c r="F251" s="18">
        <f t="shared" si="10"/>
        <v>30</v>
      </c>
      <c r="G251" s="18" t="str">
        <f t="shared" si="11"/>
        <v>Sem premiação</v>
      </c>
    </row>
    <row r="252" spans="2:7" ht="20.100000000000001" customHeight="1" x14ac:dyDescent="0.25">
      <c r="B252" s="14" t="s">
        <v>313</v>
      </c>
      <c r="C252" s="15">
        <v>15</v>
      </c>
      <c r="D252" s="16">
        <v>1633.11</v>
      </c>
      <c r="E252" s="17">
        <f t="shared" si="9"/>
        <v>108.874</v>
      </c>
      <c r="F252" s="18">
        <f t="shared" si="10"/>
        <v>30</v>
      </c>
      <c r="G252" s="18" t="str">
        <f t="shared" si="11"/>
        <v>Sem premiação</v>
      </c>
    </row>
    <row r="253" spans="2:7" ht="20.100000000000001" customHeight="1" x14ac:dyDescent="0.25">
      <c r="B253" s="14" t="s">
        <v>314</v>
      </c>
      <c r="C253" s="15">
        <v>15</v>
      </c>
      <c r="D253" s="16">
        <v>1497.55</v>
      </c>
      <c r="E253" s="17">
        <f t="shared" si="9"/>
        <v>99.836666666666659</v>
      </c>
      <c r="F253" s="18">
        <f t="shared" si="10"/>
        <v>15</v>
      </c>
      <c r="G253" s="18" t="str">
        <f t="shared" si="11"/>
        <v>Sem premiação</v>
      </c>
    </row>
    <row r="254" spans="2:7" ht="20.100000000000001" customHeight="1" x14ac:dyDescent="0.25">
      <c r="B254" s="14" t="s">
        <v>315</v>
      </c>
      <c r="C254" s="15">
        <v>15</v>
      </c>
      <c r="D254" s="16">
        <v>1246.05</v>
      </c>
      <c r="E254" s="17">
        <f t="shared" si="9"/>
        <v>83.07</v>
      </c>
      <c r="F254" s="18">
        <f t="shared" si="10"/>
        <v>15</v>
      </c>
      <c r="G254" s="18" t="str">
        <f t="shared" si="11"/>
        <v>Sem premiação</v>
      </c>
    </row>
    <row r="255" spans="2:7" ht="20.100000000000001" customHeight="1" x14ac:dyDescent="0.25">
      <c r="B255" s="14" t="s">
        <v>316</v>
      </c>
      <c r="C255" s="15">
        <v>15</v>
      </c>
      <c r="D255" s="16">
        <v>1984.4</v>
      </c>
      <c r="E255" s="17">
        <f t="shared" si="9"/>
        <v>132.29333333333335</v>
      </c>
      <c r="F255" s="18">
        <f t="shared" si="10"/>
        <v>30</v>
      </c>
      <c r="G255" s="18" t="str">
        <f t="shared" si="11"/>
        <v>Sem premiação</v>
      </c>
    </row>
    <row r="256" spans="2:7" ht="20.100000000000001" customHeight="1" x14ac:dyDescent="0.25">
      <c r="B256" s="14" t="s">
        <v>317</v>
      </c>
      <c r="C256" s="15">
        <v>15</v>
      </c>
      <c r="D256" s="16">
        <v>1266.46</v>
      </c>
      <c r="E256" s="17">
        <f t="shared" si="9"/>
        <v>84.430666666666667</v>
      </c>
      <c r="F256" s="18">
        <f t="shared" si="10"/>
        <v>15</v>
      </c>
      <c r="G256" s="18" t="str">
        <f t="shared" si="11"/>
        <v>Sem premiação</v>
      </c>
    </row>
    <row r="257" spans="2:7" ht="20.100000000000001" customHeight="1" x14ac:dyDescent="0.25">
      <c r="B257" s="14" t="s">
        <v>318</v>
      </c>
      <c r="C257" s="15">
        <v>15</v>
      </c>
      <c r="D257" s="16">
        <v>1070.8699999999999</v>
      </c>
      <c r="E257" s="17">
        <f t="shared" si="9"/>
        <v>71.391333333333321</v>
      </c>
      <c r="F257" s="18">
        <f t="shared" si="10"/>
        <v>15</v>
      </c>
      <c r="G257" s="18" t="str">
        <f t="shared" si="11"/>
        <v>Sem premiação</v>
      </c>
    </row>
    <row r="258" spans="2:7" ht="20.100000000000001" customHeight="1" x14ac:dyDescent="0.25">
      <c r="B258" s="14" t="s">
        <v>319</v>
      </c>
      <c r="C258" s="15">
        <v>14</v>
      </c>
      <c r="D258" s="16">
        <v>2648.05</v>
      </c>
      <c r="E258" s="17">
        <f t="shared" si="9"/>
        <v>189.14642857142857</v>
      </c>
      <c r="F258" s="18">
        <f t="shared" si="10"/>
        <v>42</v>
      </c>
      <c r="G258" s="18" t="str">
        <f t="shared" si="11"/>
        <v>Sem premiação</v>
      </c>
    </row>
    <row r="259" spans="2:7" ht="20.100000000000001" customHeight="1" x14ac:dyDescent="0.25">
      <c r="B259" s="14" t="s">
        <v>320</v>
      </c>
      <c r="C259" s="15">
        <v>14</v>
      </c>
      <c r="D259" s="16">
        <v>1410.52</v>
      </c>
      <c r="E259" s="17">
        <f t="shared" si="9"/>
        <v>100.75142857142858</v>
      </c>
      <c r="F259" s="18">
        <f t="shared" si="10"/>
        <v>28</v>
      </c>
      <c r="G259" s="18" t="str">
        <f t="shared" si="11"/>
        <v>Sem premiação</v>
      </c>
    </row>
    <row r="260" spans="2:7" ht="20.100000000000001" customHeight="1" x14ac:dyDescent="0.25">
      <c r="B260" s="14" t="s">
        <v>321</v>
      </c>
      <c r="C260" s="15">
        <v>14</v>
      </c>
      <c r="D260" s="16">
        <v>1654.5</v>
      </c>
      <c r="E260" s="17">
        <f t="shared" ref="E260:E323" si="12">D260/C260</f>
        <v>118.17857142857143</v>
      </c>
      <c r="F260" s="18">
        <f t="shared" ref="F260:F323" si="13">IFERROR(C260*_xlfn.XLOOKUP(E260,$J$4:$J$13,$K$4:$K$13,0,-1),0)</f>
        <v>28</v>
      </c>
      <c r="G260" s="18" t="str">
        <f t="shared" ref="G260:G323" si="14">IFERROR(VLOOKUP(F260,$J$16:$K$19,2,TRUE),"SEM PREMIAÇÃO")</f>
        <v>Sem premiação</v>
      </c>
    </row>
    <row r="261" spans="2:7" ht="20.100000000000001" customHeight="1" x14ac:dyDescent="0.25">
      <c r="B261" s="14" t="s">
        <v>322</v>
      </c>
      <c r="C261" s="15">
        <v>14</v>
      </c>
      <c r="D261" s="16">
        <v>1241.48</v>
      </c>
      <c r="E261" s="17">
        <f t="shared" si="12"/>
        <v>88.677142857142854</v>
      </c>
      <c r="F261" s="18">
        <f t="shared" si="13"/>
        <v>14</v>
      </c>
      <c r="G261" s="18" t="str">
        <f t="shared" si="14"/>
        <v>Sem premiação</v>
      </c>
    </row>
    <row r="262" spans="2:7" ht="20.100000000000001" customHeight="1" x14ac:dyDescent="0.25">
      <c r="B262" s="14" t="s">
        <v>323</v>
      </c>
      <c r="C262" s="15">
        <v>14</v>
      </c>
      <c r="D262" s="16">
        <v>3372.9</v>
      </c>
      <c r="E262" s="17">
        <f t="shared" si="12"/>
        <v>240.92142857142858</v>
      </c>
      <c r="F262" s="18">
        <f t="shared" si="13"/>
        <v>56</v>
      </c>
      <c r="G262" s="18" t="str">
        <f t="shared" si="14"/>
        <v>Sem premiação</v>
      </c>
    </row>
    <row r="263" spans="2:7" ht="20.100000000000001" customHeight="1" x14ac:dyDescent="0.25">
      <c r="B263" s="14" t="s">
        <v>324</v>
      </c>
      <c r="C263" s="15">
        <v>14</v>
      </c>
      <c r="D263" s="16">
        <v>1716.63</v>
      </c>
      <c r="E263" s="17">
        <f t="shared" si="12"/>
        <v>122.61642857142859</v>
      </c>
      <c r="F263" s="18">
        <f t="shared" si="13"/>
        <v>28</v>
      </c>
      <c r="G263" s="18" t="str">
        <f t="shared" si="14"/>
        <v>Sem premiação</v>
      </c>
    </row>
    <row r="264" spans="2:7" ht="20.100000000000001" customHeight="1" x14ac:dyDescent="0.25">
      <c r="B264" s="14" t="s">
        <v>325</v>
      </c>
      <c r="C264" s="15">
        <v>14</v>
      </c>
      <c r="D264" s="16">
        <v>5087.12</v>
      </c>
      <c r="E264" s="17">
        <f t="shared" si="12"/>
        <v>363.36571428571426</v>
      </c>
      <c r="F264" s="18">
        <f t="shared" si="13"/>
        <v>98</v>
      </c>
      <c r="G264" s="18" t="str">
        <f t="shared" si="14"/>
        <v>Sem premiação</v>
      </c>
    </row>
    <row r="265" spans="2:7" ht="20.100000000000001" customHeight="1" x14ac:dyDescent="0.25">
      <c r="B265" s="14" t="s">
        <v>326</v>
      </c>
      <c r="C265" s="15">
        <v>14</v>
      </c>
      <c r="D265" s="16">
        <v>2362.7399999999998</v>
      </c>
      <c r="E265" s="17">
        <f t="shared" si="12"/>
        <v>168.76714285714283</v>
      </c>
      <c r="F265" s="18">
        <f t="shared" si="13"/>
        <v>42</v>
      </c>
      <c r="G265" s="18" t="str">
        <f t="shared" si="14"/>
        <v>Sem premiação</v>
      </c>
    </row>
    <row r="266" spans="2:7" ht="20.100000000000001" customHeight="1" x14ac:dyDescent="0.25">
      <c r="B266" s="14" t="s">
        <v>327</v>
      </c>
      <c r="C266" s="15">
        <v>14</v>
      </c>
      <c r="D266" s="16">
        <v>1428.24</v>
      </c>
      <c r="E266" s="17">
        <f t="shared" si="12"/>
        <v>102.01714285714286</v>
      </c>
      <c r="F266" s="18">
        <f t="shared" si="13"/>
        <v>28</v>
      </c>
      <c r="G266" s="18" t="str">
        <f t="shared" si="14"/>
        <v>Sem premiação</v>
      </c>
    </row>
    <row r="267" spans="2:7" ht="20.100000000000001" customHeight="1" x14ac:dyDescent="0.25">
      <c r="B267" s="14" t="s">
        <v>328</v>
      </c>
      <c r="C267" s="15">
        <v>14</v>
      </c>
      <c r="D267" s="16">
        <v>1580.4</v>
      </c>
      <c r="E267" s="17">
        <f t="shared" si="12"/>
        <v>112.88571428571429</v>
      </c>
      <c r="F267" s="18">
        <f t="shared" si="13"/>
        <v>28</v>
      </c>
      <c r="G267" s="18" t="str">
        <f t="shared" si="14"/>
        <v>Sem premiação</v>
      </c>
    </row>
    <row r="268" spans="2:7" ht="20.100000000000001" customHeight="1" x14ac:dyDescent="0.25">
      <c r="B268" s="14" t="s">
        <v>329</v>
      </c>
      <c r="C268" s="15">
        <v>14</v>
      </c>
      <c r="D268" s="16">
        <v>1956.23</v>
      </c>
      <c r="E268" s="17">
        <f t="shared" si="12"/>
        <v>139.7307142857143</v>
      </c>
      <c r="F268" s="18">
        <f t="shared" si="13"/>
        <v>28</v>
      </c>
      <c r="G268" s="18" t="str">
        <f t="shared" si="14"/>
        <v>Sem premiação</v>
      </c>
    </row>
    <row r="269" spans="2:7" ht="20.100000000000001" customHeight="1" x14ac:dyDescent="0.25">
      <c r="B269" s="14" t="s">
        <v>330</v>
      </c>
      <c r="C269" s="15">
        <v>14</v>
      </c>
      <c r="D269" s="16">
        <v>3340.24</v>
      </c>
      <c r="E269" s="17">
        <f t="shared" si="12"/>
        <v>238.58857142857141</v>
      </c>
      <c r="F269" s="18">
        <f t="shared" si="13"/>
        <v>56</v>
      </c>
      <c r="G269" s="18" t="str">
        <f t="shared" si="14"/>
        <v>Sem premiação</v>
      </c>
    </row>
    <row r="270" spans="2:7" ht="20.100000000000001" customHeight="1" x14ac:dyDescent="0.25">
      <c r="B270" s="14" t="s">
        <v>331</v>
      </c>
      <c r="C270" s="15">
        <v>14</v>
      </c>
      <c r="D270" s="16">
        <v>1228.1199999999999</v>
      </c>
      <c r="E270" s="17">
        <f t="shared" si="12"/>
        <v>87.722857142857137</v>
      </c>
      <c r="F270" s="18">
        <f t="shared" si="13"/>
        <v>14</v>
      </c>
      <c r="G270" s="18" t="str">
        <f t="shared" si="14"/>
        <v>Sem premiação</v>
      </c>
    </row>
    <row r="271" spans="2:7" ht="20.100000000000001" customHeight="1" x14ac:dyDescent="0.25">
      <c r="B271" s="14" t="s">
        <v>332</v>
      </c>
      <c r="C271" s="15">
        <v>14</v>
      </c>
      <c r="D271" s="16">
        <v>2606.8000000000002</v>
      </c>
      <c r="E271" s="17">
        <f t="shared" si="12"/>
        <v>186.20000000000002</v>
      </c>
      <c r="F271" s="18">
        <f t="shared" si="13"/>
        <v>42</v>
      </c>
      <c r="G271" s="18" t="str">
        <f t="shared" si="14"/>
        <v>Sem premiação</v>
      </c>
    </row>
    <row r="272" spans="2:7" ht="20.100000000000001" customHeight="1" x14ac:dyDescent="0.25">
      <c r="B272" s="14" t="s">
        <v>333</v>
      </c>
      <c r="C272" s="15">
        <v>13</v>
      </c>
      <c r="D272" s="16">
        <v>2149.2199999999998</v>
      </c>
      <c r="E272" s="17">
        <f t="shared" si="12"/>
        <v>165.32461538461536</v>
      </c>
      <c r="F272" s="18">
        <f t="shared" si="13"/>
        <v>39</v>
      </c>
      <c r="G272" s="18" t="str">
        <f t="shared" si="14"/>
        <v>Sem premiação</v>
      </c>
    </row>
    <row r="273" spans="2:7" ht="20.100000000000001" customHeight="1" x14ac:dyDescent="0.25">
      <c r="B273" s="14" t="s">
        <v>334</v>
      </c>
      <c r="C273" s="15">
        <v>13</v>
      </c>
      <c r="D273" s="16">
        <v>1733.48</v>
      </c>
      <c r="E273" s="17">
        <f t="shared" si="12"/>
        <v>133.34461538461539</v>
      </c>
      <c r="F273" s="18">
        <f t="shared" si="13"/>
        <v>26</v>
      </c>
      <c r="G273" s="18" t="str">
        <f t="shared" si="14"/>
        <v>Sem premiação</v>
      </c>
    </row>
    <row r="274" spans="2:7" ht="20.100000000000001" customHeight="1" x14ac:dyDescent="0.25">
      <c r="B274" s="14" t="s">
        <v>335</v>
      </c>
      <c r="C274" s="15">
        <v>13</v>
      </c>
      <c r="D274" s="16">
        <v>1066.8800000000001</v>
      </c>
      <c r="E274" s="17">
        <f t="shared" si="12"/>
        <v>82.067692307692312</v>
      </c>
      <c r="F274" s="18">
        <f t="shared" si="13"/>
        <v>13</v>
      </c>
      <c r="G274" s="18" t="str">
        <f t="shared" si="14"/>
        <v>Sem premiação</v>
      </c>
    </row>
    <row r="275" spans="2:7" ht="20.100000000000001" customHeight="1" x14ac:dyDescent="0.25">
      <c r="B275" s="14" t="s">
        <v>336</v>
      </c>
      <c r="C275" s="15">
        <v>13</v>
      </c>
      <c r="D275" s="16">
        <v>1173.22</v>
      </c>
      <c r="E275" s="17">
        <f t="shared" si="12"/>
        <v>90.247692307692304</v>
      </c>
      <c r="F275" s="18">
        <f t="shared" si="13"/>
        <v>13</v>
      </c>
      <c r="G275" s="18" t="str">
        <f t="shared" si="14"/>
        <v>Sem premiação</v>
      </c>
    </row>
    <row r="276" spans="2:7" ht="20.100000000000001" customHeight="1" x14ac:dyDescent="0.25">
      <c r="B276" s="14" t="s">
        <v>337</v>
      </c>
      <c r="C276" s="15">
        <v>13</v>
      </c>
      <c r="D276" s="16">
        <v>1820.67</v>
      </c>
      <c r="E276" s="17">
        <f t="shared" si="12"/>
        <v>140.05153846153846</v>
      </c>
      <c r="F276" s="18">
        <f t="shared" si="13"/>
        <v>26</v>
      </c>
      <c r="G276" s="18" t="str">
        <f t="shared" si="14"/>
        <v>Sem premiação</v>
      </c>
    </row>
    <row r="277" spans="2:7" ht="20.100000000000001" customHeight="1" x14ac:dyDescent="0.25">
      <c r="B277" s="14" t="s">
        <v>338</v>
      </c>
      <c r="C277" s="15">
        <v>13</v>
      </c>
      <c r="D277" s="16">
        <v>2348.4699999999998</v>
      </c>
      <c r="E277" s="17">
        <f t="shared" si="12"/>
        <v>180.65153846153845</v>
      </c>
      <c r="F277" s="18">
        <f t="shared" si="13"/>
        <v>39</v>
      </c>
      <c r="G277" s="18" t="str">
        <f t="shared" si="14"/>
        <v>Sem premiação</v>
      </c>
    </row>
    <row r="278" spans="2:7" ht="20.100000000000001" customHeight="1" x14ac:dyDescent="0.25">
      <c r="B278" s="14" t="s">
        <v>339</v>
      </c>
      <c r="C278" s="15">
        <v>13</v>
      </c>
      <c r="D278" s="16">
        <v>1760.81</v>
      </c>
      <c r="E278" s="17">
        <f t="shared" si="12"/>
        <v>135.44692307692307</v>
      </c>
      <c r="F278" s="18">
        <f t="shared" si="13"/>
        <v>26</v>
      </c>
      <c r="G278" s="18" t="str">
        <f t="shared" si="14"/>
        <v>Sem premiação</v>
      </c>
    </row>
    <row r="279" spans="2:7" ht="20.100000000000001" customHeight="1" x14ac:dyDescent="0.25">
      <c r="B279" s="14" t="s">
        <v>340</v>
      </c>
      <c r="C279" s="15">
        <v>13</v>
      </c>
      <c r="D279" s="16">
        <v>1108.3399999999999</v>
      </c>
      <c r="E279" s="17">
        <f t="shared" si="12"/>
        <v>85.256923076923073</v>
      </c>
      <c r="F279" s="18">
        <f t="shared" si="13"/>
        <v>13</v>
      </c>
      <c r="G279" s="18" t="str">
        <f t="shared" si="14"/>
        <v>Sem premiação</v>
      </c>
    </row>
    <row r="280" spans="2:7" ht="20.100000000000001" customHeight="1" x14ac:dyDescent="0.25">
      <c r="B280" s="14" t="s">
        <v>341</v>
      </c>
      <c r="C280" s="15">
        <v>13</v>
      </c>
      <c r="D280" s="16">
        <v>1981.18</v>
      </c>
      <c r="E280" s="17">
        <f t="shared" si="12"/>
        <v>152.39846153846153</v>
      </c>
      <c r="F280" s="18">
        <f t="shared" si="13"/>
        <v>39</v>
      </c>
      <c r="G280" s="18" t="str">
        <f t="shared" si="14"/>
        <v>Sem premiação</v>
      </c>
    </row>
    <row r="281" spans="2:7" ht="20.100000000000001" customHeight="1" x14ac:dyDescent="0.25">
      <c r="B281" s="14" t="s">
        <v>342</v>
      </c>
      <c r="C281" s="15">
        <v>13</v>
      </c>
      <c r="D281" s="16">
        <v>2966.65</v>
      </c>
      <c r="E281" s="17">
        <f t="shared" si="12"/>
        <v>228.20384615384617</v>
      </c>
      <c r="F281" s="18">
        <f t="shared" si="13"/>
        <v>52</v>
      </c>
      <c r="G281" s="18" t="str">
        <f t="shared" si="14"/>
        <v>Sem premiação</v>
      </c>
    </row>
    <row r="282" spans="2:7" ht="20.100000000000001" customHeight="1" x14ac:dyDescent="0.25">
      <c r="B282" s="14" t="s">
        <v>343</v>
      </c>
      <c r="C282" s="15">
        <v>13</v>
      </c>
      <c r="D282" s="16">
        <v>1460.57</v>
      </c>
      <c r="E282" s="17">
        <f t="shared" si="12"/>
        <v>112.35153846153845</v>
      </c>
      <c r="F282" s="18">
        <f t="shared" si="13"/>
        <v>26</v>
      </c>
      <c r="G282" s="18" t="str">
        <f t="shared" si="14"/>
        <v>Sem premiação</v>
      </c>
    </row>
    <row r="283" spans="2:7" ht="20.100000000000001" customHeight="1" x14ac:dyDescent="0.25">
      <c r="B283" s="14" t="s">
        <v>344</v>
      </c>
      <c r="C283" s="15">
        <v>13</v>
      </c>
      <c r="D283" s="16">
        <v>2095.84</v>
      </c>
      <c r="E283" s="17">
        <f t="shared" si="12"/>
        <v>161.21846153846155</v>
      </c>
      <c r="F283" s="18">
        <f t="shared" si="13"/>
        <v>39</v>
      </c>
      <c r="G283" s="18" t="str">
        <f t="shared" si="14"/>
        <v>Sem premiação</v>
      </c>
    </row>
    <row r="284" spans="2:7" ht="20.100000000000001" customHeight="1" x14ac:dyDescent="0.25">
      <c r="B284" s="14" t="s">
        <v>345</v>
      </c>
      <c r="C284" s="15">
        <v>13</v>
      </c>
      <c r="D284" s="16">
        <v>1270.01</v>
      </c>
      <c r="E284" s="17">
        <f t="shared" si="12"/>
        <v>97.693076923076916</v>
      </c>
      <c r="F284" s="18">
        <f t="shared" si="13"/>
        <v>13</v>
      </c>
      <c r="G284" s="18" t="str">
        <f t="shared" si="14"/>
        <v>Sem premiação</v>
      </c>
    </row>
    <row r="285" spans="2:7" ht="20.100000000000001" customHeight="1" x14ac:dyDescent="0.25">
      <c r="B285" s="14" t="s">
        <v>346</v>
      </c>
      <c r="C285" s="15">
        <v>13</v>
      </c>
      <c r="D285" s="16">
        <v>2313.7600000000002</v>
      </c>
      <c r="E285" s="17">
        <f t="shared" si="12"/>
        <v>177.98153846153849</v>
      </c>
      <c r="F285" s="18">
        <f t="shared" si="13"/>
        <v>39</v>
      </c>
      <c r="G285" s="18" t="str">
        <f t="shared" si="14"/>
        <v>Sem premiação</v>
      </c>
    </row>
    <row r="286" spans="2:7" ht="20.100000000000001" customHeight="1" x14ac:dyDescent="0.25">
      <c r="B286" s="14" t="s">
        <v>347</v>
      </c>
      <c r="C286" s="15">
        <v>13</v>
      </c>
      <c r="D286" s="16">
        <v>1864.23</v>
      </c>
      <c r="E286" s="17">
        <f t="shared" si="12"/>
        <v>143.40230769230769</v>
      </c>
      <c r="F286" s="18">
        <f t="shared" si="13"/>
        <v>26</v>
      </c>
      <c r="G286" s="18" t="str">
        <f t="shared" si="14"/>
        <v>Sem premiação</v>
      </c>
    </row>
    <row r="287" spans="2:7" ht="20.100000000000001" customHeight="1" x14ac:dyDescent="0.25">
      <c r="B287" s="14" t="s">
        <v>348</v>
      </c>
      <c r="C287" s="15">
        <v>13</v>
      </c>
      <c r="D287" s="16">
        <v>1111.5</v>
      </c>
      <c r="E287" s="17">
        <f t="shared" si="12"/>
        <v>85.5</v>
      </c>
      <c r="F287" s="18">
        <f t="shared" si="13"/>
        <v>13</v>
      </c>
      <c r="G287" s="18" t="str">
        <f t="shared" si="14"/>
        <v>Sem premiação</v>
      </c>
    </row>
    <row r="288" spans="2:7" ht="20.100000000000001" customHeight="1" x14ac:dyDescent="0.25">
      <c r="B288" s="14" t="s">
        <v>349</v>
      </c>
      <c r="C288" s="15">
        <v>12</v>
      </c>
      <c r="D288" s="16">
        <v>2347.23</v>
      </c>
      <c r="E288" s="17">
        <f t="shared" si="12"/>
        <v>195.60249999999999</v>
      </c>
      <c r="F288" s="18">
        <f t="shared" si="13"/>
        <v>36</v>
      </c>
      <c r="G288" s="18" t="str">
        <f t="shared" si="14"/>
        <v>Sem premiação</v>
      </c>
    </row>
    <row r="289" spans="2:7" ht="20.100000000000001" customHeight="1" x14ac:dyDescent="0.25">
      <c r="B289" s="14" t="s">
        <v>350</v>
      </c>
      <c r="C289" s="15">
        <v>12</v>
      </c>
      <c r="D289" s="16">
        <v>1355.37</v>
      </c>
      <c r="E289" s="17">
        <f t="shared" si="12"/>
        <v>112.94749999999999</v>
      </c>
      <c r="F289" s="18">
        <f t="shared" si="13"/>
        <v>24</v>
      </c>
      <c r="G289" s="18" t="str">
        <f t="shared" si="14"/>
        <v>Sem premiação</v>
      </c>
    </row>
    <row r="290" spans="2:7" ht="20.100000000000001" customHeight="1" x14ac:dyDescent="0.25">
      <c r="B290" s="14" t="s">
        <v>351</v>
      </c>
      <c r="C290" s="15">
        <v>12</v>
      </c>
      <c r="D290" s="16">
        <v>1736.34</v>
      </c>
      <c r="E290" s="17">
        <f t="shared" si="12"/>
        <v>144.69499999999999</v>
      </c>
      <c r="F290" s="18">
        <f t="shared" si="13"/>
        <v>24</v>
      </c>
      <c r="G290" s="18" t="str">
        <f t="shared" si="14"/>
        <v>Sem premiação</v>
      </c>
    </row>
    <row r="291" spans="2:7" ht="20.100000000000001" customHeight="1" x14ac:dyDescent="0.25">
      <c r="B291" s="14" t="s">
        <v>352</v>
      </c>
      <c r="C291" s="15">
        <v>12</v>
      </c>
      <c r="D291" s="16">
        <v>2538.9</v>
      </c>
      <c r="E291" s="17">
        <f t="shared" si="12"/>
        <v>211.57500000000002</v>
      </c>
      <c r="F291" s="18">
        <f t="shared" si="13"/>
        <v>48</v>
      </c>
      <c r="G291" s="18" t="str">
        <f t="shared" si="14"/>
        <v>Sem premiação</v>
      </c>
    </row>
    <row r="292" spans="2:7" ht="20.100000000000001" customHeight="1" x14ac:dyDescent="0.25">
      <c r="B292" s="14" t="s">
        <v>353</v>
      </c>
      <c r="C292" s="15">
        <v>12</v>
      </c>
      <c r="D292" s="16">
        <v>1316.84</v>
      </c>
      <c r="E292" s="17">
        <f t="shared" si="12"/>
        <v>109.73666666666666</v>
      </c>
      <c r="F292" s="18">
        <f t="shared" si="13"/>
        <v>24</v>
      </c>
      <c r="G292" s="18" t="str">
        <f t="shared" si="14"/>
        <v>Sem premiação</v>
      </c>
    </row>
    <row r="293" spans="2:7" ht="20.100000000000001" customHeight="1" x14ac:dyDescent="0.25">
      <c r="B293" s="14" t="s">
        <v>354</v>
      </c>
      <c r="C293" s="15">
        <v>12</v>
      </c>
      <c r="D293" s="16">
        <v>1102.6600000000001</v>
      </c>
      <c r="E293" s="17">
        <f t="shared" si="12"/>
        <v>91.888333333333335</v>
      </c>
      <c r="F293" s="18">
        <f t="shared" si="13"/>
        <v>12</v>
      </c>
      <c r="G293" s="18" t="str">
        <f t="shared" si="14"/>
        <v>Sem premiação</v>
      </c>
    </row>
    <row r="294" spans="2:7" ht="20.100000000000001" customHeight="1" x14ac:dyDescent="0.25">
      <c r="B294" s="14" t="s">
        <v>355</v>
      </c>
      <c r="C294" s="15">
        <v>12</v>
      </c>
      <c r="D294" s="16">
        <v>1338.15</v>
      </c>
      <c r="E294" s="17">
        <f t="shared" si="12"/>
        <v>111.5125</v>
      </c>
      <c r="F294" s="18">
        <f t="shared" si="13"/>
        <v>24</v>
      </c>
      <c r="G294" s="18" t="str">
        <f t="shared" si="14"/>
        <v>Sem premiação</v>
      </c>
    </row>
    <row r="295" spans="2:7" ht="20.100000000000001" customHeight="1" x14ac:dyDescent="0.25">
      <c r="B295" s="14" t="s">
        <v>356</v>
      </c>
      <c r="C295" s="15">
        <v>12</v>
      </c>
      <c r="D295" s="16">
        <v>1441.98</v>
      </c>
      <c r="E295" s="17">
        <f t="shared" si="12"/>
        <v>120.16500000000001</v>
      </c>
      <c r="F295" s="18">
        <f t="shared" si="13"/>
        <v>24</v>
      </c>
      <c r="G295" s="18" t="str">
        <f t="shared" si="14"/>
        <v>Sem premiação</v>
      </c>
    </row>
    <row r="296" spans="2:7" ht="20.100000000000001" customHeight="1" x14ac:dyDescent="0.25">
      <c r="B296" s="14" t="s">
        <v>357</v>
      </c>
      <c r="C296" s="15">
        <v>12</v>
      </c>
      <c r="D296" s="16">
        <v>2048.5100000000002</v>
      </c>
      <c r="E296" s="17">
        <f t="shared" si="12"/>
        <v>170.70916666666668</v>
      </c>
      <c r="F296" s="18">
        <f t="shared" si="13"/>
        <v>36</v>
      </c>
      <c r="G296" s="18" t="str">
        <f t="shared" si="14"/>
        <v>Sem premiação</v>
      </c>
    </row>
    <row r="297" spans="2:7" ht="20.100000000000001" customHeight="1" x14ac:dyDescent="0.25">
      <c r="B297" s="14" t="s">
        <v>358</v>
      </c>
      <c r="C297" s="15">
        <v>12</v>
      </c>
      <c r="D297" s="16">
        <v>1738.53</v>
      </c>
      <c r="E297" s="17">
        <f t="shared" si="12"/>
        <v>144.8775</v>
      </c>
      <c r="F297" s="18">
        <f t="shared" si="13"/>
        <v>24</v>
      </c>
      <c r="G297" s="18" t="str">
        <f t="shared" si="14"/>
        <v>Sem premiação</v>
      </c>
    </row>
    <row r="298" spans="2:7" ht="20.100000000000001" customHeight="1" x14ac:dyDescent="0.25">
      <c r="B298" s="14" t="s">
        <v>359</v>
      </c>
      <c r="C298" s="15">
        <v>12</v>
      </c>
      <c r="D298" s="16">
        <v>1576.91</v>
      </c>
      <c r="E298" s="17">
        <f t="shared" si="12"/>
        <v>131.40916666666666</v>
      </c>
      <c r="F298" s="18">
        <f t="shared" si="13"/>
        <v>24</v>
      </c>
      <c r="G298" s="18" t="str">
        <f t="shared" si="14"/>
        <v>Sem premiação</v>
      </c>
    </row>
    <row r="299" spans="2:7" ht="20.100000000000001" customHeight="1" x14ac:dyDescent="0.25">
      <c r="B299" s="14" t="s">
        <v>360</v>
      </c>
      <c r="C299" s="15">
        <v>12</v>
      </c>
      <c r="D299" s="16">
        <v>1597.89</v>
      </c>
      <c r="E299" s="17">
        <f t="shared" si="12"/>
        <v>133.1575</v>
      </c>
      <c r="F299" s="18">
        <f t="shared" si="13"/>
        <v>24</v>
      </c>
      <c r="G299" s="18" t="str">
        <f t="shared" si="14"/>
        <v>Sem premiação</v>
      </c>
    </row>
    <row r="300" spans="2:7" ht="20.100000000000001" customHeight="1" x14ac:dyDescent="0.25">
      <c r="B300" s="14" t="s">
        <v>361</v>
      </c>
      <c r="C300" s="15">
        <v>12</v>
      </c>
      <c r="D300" s="16">
        <v>2985.89</v>
      </c>
      <c r="E300" s="17">
        <f t="shared" si="12"/>
        <v>248.82416666666666</v>
      </c>
      <c r="F300" s="18">
        <f t="shared" si="13"/>
        <v>48</v>
      </c>
      <c r="G300" s="18" t="str">
        <f t="shared" si="14"/>
        <v>Sem premiação</v>
      </c>
    </row>
    <row r="301" spans="2:7" ht="20.100000000000001" customHeight="1" x14ac:dyDescent="0.25">
      <c r="B301" s="14" t="s">
        <v>362</v>
      </c>
      <c r="C301" s="15">
        <v>12</v>
      </c>
      <c r="D301" s="16">
        <v>1338.43</v>
      </c>
      <c r="E301" s="17">
        <f t="shared" si="12"/>
        <v>111.53583333333334</v>
      </c>
      <c r="F301" s="18">
        <f t="shared" si="13"/>
        <v>24</v>
      </c>
      <c r="G301" s="18" t="str">
        <f t="shared" si="14"/>
        <v>Sem premiação</v>
      </c>
    </row>
    <row r="302" spans="2:7" ht="20.100000000000001" customHeight="1" x14ac:dyDescent="0.25">
      <c r="B302" s="14" t="s">
        <v>363</v>
      </c>
      <c r="C302" s="15">
        <v>12</v>
      </c>
      <c r="D302" s="16">
        <v>1343.28</v>
      </c>
      <c r="E302" s="17">
        <f t="shared" si="12"/>
        <v>111.94</v>
      </c>
      <c r="F302" s="18">
        <f t="shared" si="13"/>
        <v>24</v>
      </c>
      <c r="G302" s="18" t="str">
        <f t="shared" si="14"/>
        <v>Sem premiação</v>
      </c>
    </row>
    <row r="303" spans="2:7" ht="20.100000000000001" customHeight="1" x14ac:dyDescent="0.25">
      <c r="B303" s="14" t="s">
        <v>364</v>
      </c>
      <c r="C303" s="15">
        <v>11</v>
      </c>
      <c r="D303" s="16">
        <v>941.72</v>
      </c>
      <c r="E303" s="17">
        <f t="shared" si="12"/>
        <v>85.61090909090909</v>
      </c>
      <c r="F303" s="18">
        <f t="shared" si="13"/>
        <v>11</v>
      </c>
      <c r="G303" s="18" t="str">
        <f t="shared" si="14"/>
        <v>Sem premiação</v>
      </c>
    </row>
    <row r="304" spans="2:7" ht="20.100000000000001" customHeight="1" x14ac:dyDescent="0.25">
      <c r="B304" s="14" t="s">
        <v>365</v>
      </c>
      <c r="C304" s="15">
        <v>11</v>
      </c>
      <c r="D304" s="16">
        <v>2090.67</v>
      </c>
      <c r="E304" s="17">
        <f t="shared" si="12"/>
        <v>190.06090909090909</v>
      </c>
      <c r="F304" s="18">
        <f t="shared" si="13"/>
        <v>33</v>
      </c>
      <c r="G304" s="18" t="str">
        <f t="shared" si="14"/>
        <v>Sem premiação</v>
      </c>
    </row>
    <row r="305" spans="2:7" ht="20.100000000000001" customHeight="1" x14ac:dyDescent="0.25">
      <c r="B305" s="14" t="s">
        <v>366</v>
      </c>
      <c r="C305" s="15">
        <v>11</v>
      </c>
      <c r="D305" s="16">
        <v>926.17</v>
      </c>
      <c r="E305" s="17">
        <f t="shared" si="12"/>
        <v>84.197272727272718</v>
      </c>
      <c r="F305" s="18">
        <f t="shared" si="13"/>
        <v>11</v>
      </c>
      <c r="G305" s="18" t="str">
        <f t="shared" si="14"/>
        <v>Sem premiação</v>
      </c>
    </row>
    <row r="306" spans="2:7" ht="20.100000000000001" customHeight="1" x14ac:dyDescent="0.25">
      <c r="B306" s="14" t="s">
        <v>367</v>
      </c>
      <c r="C306" s="15">
        <v>11</v>
      </c>
      <c r="D306" s="16">
        <v>1326.27</v>
      </c>
      <c r="E306" s="17">
        <f t="shared" si="12"/>
        <v>120.57</v>
      </c>
      <c r="F306" s="18">
        <f t="shared" si="13"/>
        <v>22</v>
      </c>
      <c r="G306" s="18" t="str">
        <f t="shared" si="14"/>
        <v>Sem premiação</v>
      </c>
    </row>
    <row r="307" spans="2:7" ht="20.100000000000001" customHeight="1" x14ac:dyDescent="0.25">
      <c r="B307" s="14" t="s">
        <v>368</v>
      </c>
      <c r="C307" s="15">
        <v>11</v>
      </c>
      <c r="D307" s="16">
        <v>1167.02</v>
      </c>
      <c r="E307" s="17">
        <f t="shared" si="12"/>
        <v>106.09272727272727</v>
      </c>
      <c r="F307" s="18">
        <f t="shared" si="13"/>
        <v>22</v>
      </c>
      <c r="G307" s="18" t="str">
        <f t="shared" si="14"/>
        <v>Sem premiação</v>
      </c>
    </row>
    <row r="308" spans="2:7" ht="20.100000000000001" customHeight="1" x14ac:dyDescent="0.25">
      <c r="B308" s="14" t="s">
        <v>369</v>
      </c>
      <c r="C308" s="15">
        <v>11</v>
      </c>
      <c r="D308" s="16">
        <v>1682.58</v>
      </c>
      <c r="E308" s="17">
        <f t="shared" si="12"/>
        <v>152.96181818181819</v>
      </c>
      <c r="F308" s="18">
        <f t="shared" si="13"/>
        <v>33</v>
      </c>
      <c r="G308" s="18" t="str">
        <f t="shared" si="14"/>
        <v>Sem premiação</v>
      </c>
    </row>
    <row r="309" spans="2:7" ht="20.100000000000001" customHeight="1" x14ac:dyDescent="0.25">
      <c r="B309" s="14" t="s">
        <v>370</v>
      </c>
      <c r="C309" s="15">
        <v>11</v>
      </c>
      <c r="D309" s="16">
        <v>2169.41</v>
      </c>
      <c r="E309" s="17">
        <f t="shared" si="12"/>
        <v>197.21909090909091</v>
      </c>
      <c r="F309" s="18">
        <f t="shared" si="13"/>
        <v>33</v>
      </c>
      <c r="G309" s="18" t="str">
        <f t="shared" si="14"/>
        <v>Sem premiação</v>
      </c>
    </row>
    <row r="310" spans="2:7" ht="20.100000000000001" customHeight="1" x14ac:dyDescent="0.25">
      <c r="B310" s="14" t="s">
        <v>371</v>
      </c>
      <c r="C310" s="15">
        <v>11</v>
      </c>
      <c r="D310" s="16">
        <v>1471.12</v>
      </c>
      <c r="E310" s="17">
        <f t="shared" si="12"/>
        <v>133.7381818181818</v>
      </c>
      <c r="F310" s="18">
        <f t="shared" si="13"/>
        <v>22</v>
      </c>
      <c r="G310" s="18" t="str">
        <f t="shared" si="14"/>
        <v>Sem premiação</v>
      </c>
    </row>
    <row r="311" spans="2:7" ht="20.100000000000001" customHeight="1" x14ac:dyDescent="0.25">
      <c r="B311" s="14" t="s">
        <v>372</v>
      </c>
      <c r="C311" s="15">
        <v>11</v>
      </c>
      <c r="D311" s="16">
        <v>734.31</v>
      </c>
      <c r="E311" s="17">
        <f t="shared" si="12"/>
        <v>66.75545454545454</v>
      </c>
      <c r="F311" s="18">
        <f t="shared" si="13"/>
        <v>11</v>
      </c>
      <c r="G311" s="18" t="str">
        <f t="shared" si="14"/>
        <v>Sem premiação</v>
      </c>
    </row>
    <row r="312" spans="2:7" ht="20.100000000000001" customHeight="1" x14ac:dyDescent="0.25">
      <c r="B312" s="14" t="s">
        <v>373</v>
      </c>
      <c r="C312" s="15">
        <v>11</v>
      </c>
      <c r="D312" s="16">
        <v>3238.7</v>
      </c>
      <c r="E312" s="17">
        <f t="shared" si="12"/>
        <v>294.42727272727274</v>
      </c>
      <c r="F312" s="18">
        <f t="shared" si="13"/>
        <v>55</v>
      </c>
      <c r="G312" s="18" t="str">
        <f t="shared" si="14"/>
        <v>Sem premiação</v>
      </c>
    </row>
    <row r="313" spans="2:7" ht="20.100000000000001" customHeight="1" x14ac:dyDescent="0.25">
      <c r="B313" s="14" t="s">
        <v>374</v>
      </c>
      <c r="C313" s="15">
        <v>11</v>
      </c>
      <c r="D313" s="16">
        <v>1769.46</v>
      </c>
      <c r="E313" s="17">
        <f t="shared" si="12"/>
        <v>160.86000000000001</v>
      </c>
      <c r="F313" s="18">
        <f t="shared" si="13"/>
        <v>33</v>
      </c>
      <c r="G313" s="18" t="str">
        <f t="shared" si="14"/>
        <v>Sem premiação</v>
      </c>
    </row>
    <row r="314" spans="2:7" ht="20.100000000000001" customHeight="1" x14ac:dyDescent="0.25">
      <c r="B314" s="14" t="s">
        <v>375</v>
      </c>
      <c r="C314" s="15">
        <v>10</v>
      </c>
      <c r="D314" s="16">
        <v>887.9</v>
      </c>
      <c r="E314" s="17">
        <f t="shared" si="12"/>
        <v>88.789999999999992</v>
      </c>
      <c r="F314" s="18">
        <f t="shared" si="13"/>
        <v>10</v>
      </c>
      <c r="G314" s="18" t="str">
        <f t="shared" si="14"/>
        <v>Sem premiação</v>
      </c>
    </row>
    <row r="315" spans="2:7" ht="20.100000000000001" customHeight="1" x14ac:dyDescent="0.25">
      <c r="B315" s="14" t="s">
        <v>376</v>
      </c>
      <c r="C315" s="15">
        <v>10</v>
      </c>
      <c r="D315" s="16">
        <v>1526.5</v>
      </c>
      <c r="E315" s="17">
        <f t="shared" si="12"/>
        <v>152.65</v>
      </c>
      <c r="F315" s="18">
        <f t="shared" si="13"/>
        <v>30</v>
      </c>
      <c r="G315" s="18" t="str">
        <f t="shared" si="14"/>
        <v>Sem premiação</v>
      </c>
    </row>
    <row r="316" spans="2:7" ht="20.100000000000001" customHeight="1" x14ac:dyDescent="0.25">
      <c r="B316" s="14" t="s">
        <v>377</v>
      </c>
      <c r="C316" s="15">
        <v>10</v>
      </c>
      <c r="D316" s="16">
        <v>1434.46</v>
      </c>
      <c r="E316" s="17">
        <f t="shared" si="12"/>
        <v>143.446</v>
      </c>
      <c r="F316" s="18">
        <f t="shared" si="13"/>
        <v>20</v>
      </c>
      <c r="G316" s="18" t="str">
        <f t="shared" si="14"/>
        <v>Sem premiação</v>
      </c>
    </row>
    <row r="317" spans="2:7" ht="20.100000000000001" customHeight="1" x14ac:dyDescent="0.25">
      <c r="B317" s="14" t="s">
        <v>378</v>
      </c>
      <c r="C317" s="15">
        <v>10</v>
      </c>
      <c r="D317" s="16">
        <v>870.66</v>
      </c>
      <c r="E317" s="17">
        <f t="shared" si="12"/>
        <v>87.066000000000003</v>
      </c>
      <c r="F317" s="18">
        <f t="shared" si="13"/>
        <v>10</v>
      </c>
      <c r="G317" s="18" t="str">
        <f t="shared" si="14"/>
        <v>Sem premiação</v>
      </c>
    </row>
    <row r="318" spans="2:7" ht="20.100000000000001" customHeight="1" x14ac:dyDescent="0.25">
      <c r="B318" s="14" t="s">
        <v>379</v>
      </c>
      <c r="C318" s="15">
        <v>10</v>
      </c>
      <c r="D318" s="16">
        <v>931.47</v>
      </c>
      <c r="E318" s="17">
        <f t="shared" si="12"/>
        <v>93.147000000000006</v>
      </c>
      <c r="F318" s="18">
        <f t="shared" si="13"/>
        <v>10</v>
      </c>
      <c r="G318" s="18" t="str">
        <f t="shared" si="14"/>
        <v>Sem premiação</v>
      </c>
    </row>
    <row r="319" spans="2:7" ht="20.100000000000001" customHeight="1" x14ac:dyDescent="0.25">
      <c r="B319" s="14" t="s">
        <v>380</v>
      </c>
      <c r="C319" s="15">
        <v>10</v>
      </c>
      <c r="D319" s="16">
        <v>1755.44</v>
      </c>
      <c r="E319" s="17">
        <f t="shared" si="12"/>
        <v>175.54400000000001</v>
      </c>
      <c r="F319" s="18">
        <f t="shared" si="13"/>
        <v>30</v>
      </c>
      <c r="G319" s="18" t="str">
        <f t="shared" si="14"/>
        <v>Sem premiação</v>
      </c>
    </row>
    <row r="320" spans="2:7" ht="20.100000000000001" customHeight="1" x14ac:dyDescent="0.25">
      <c r="B320" s="14" t="s">
        <v>381</v>
      </c>
      <c r="C320" s="15">
        <v>10</v>
      </c>
      <c r="D320" s="16">
        <v>1076.04</v>
      </c>
      <c r="E320" s="17">
        <f t="shared" si="12"/>
        <v>107.604</v>
      </c>
      <c r="F320" s="18">
        <f t="shared" si="13"/>
        <v>20</v>
      </c>
      <c r="G320" s="18" t="str">
        <f t="shared" si="14"/>
        <v>Sem premiação</v>
      </c>
    </row>
    <row r="321" spans="2:7" ht="20.100000000000001" customHeight="1" x14ac:dyDescent="0.25">
      <c r="B321" s="14" t="s">
        <v>382</v>
      </c>
      <c r="C321" s="15">
        <v>10</v>
      </c>
      <c r="D321" s="16">
        <v>1459.05</v>
      </c>
      <c r="E321" s="17">
        <f t="shared" si="12"/>
        <v>145.905</v>
      </c>
      <c r="F321" s="18">
        <f t="shared" si="13"/>
        <v>20</v>
      </c>
      <c r="G321" s="18" t="str">
        <f t="shared" si="14"/>
        <v>Sem premiação</v>
      </c>
    </row>
    <row r="322" spans="2:7" ht="20.100000000000001" customHeight="1" x14ac:dyDescent="0.25">
      <c r="B322" s="14" t="s">
        <v>383</v>
      </c>
      <c r="C322" s="15">
        <v>10</v>
      </c>
      <c r="D322" s="16">
        <v>2635.84</v>
      </c>
      <c r="E322" s="17">
        <f t="shared" si="12"/>
        <v>263.584</v>
      </c>
      <c r="F322" s="18">
        <f t="shared" si="13"/>
        <v>50</v>
      </c>
      <c r="G322" s="18" t="str">
        <f t="shared" si="14"/>
        <v>Sem premiação</v>
      </c>
    </row>
    <row r="323" spans="2:7" ht="20.100000000000001" customHeight="1" x14ac:dyDescent="0.25">
      <c r="B323" s="14" t="s">
        <v>384</v>
      </c>
      <c r="C323" s="15">
        <v>10</v>
      </c>
      <c r="D323" s="16">
        <v>1271.8599999999999</v>
      </c>
      <c r="E323" s="17">
        <f t="shared" si="12"/>
        <v>127.18599999999999</v>
      </c>
      <c r="F323" s="18">
        <f t="shared" si="13"/>
        <v>20</v>
      </c>
      <c r="G323" s="18" t="str">
        <f t="shared" si="14"/>
        <v>Sem premiação</v>
      </c>
    </row>
    <row r="324" spans="2:7" ht="20.100000000000001" customHeight="1" x14ac:dyDescent="0.25">
      <c r="B324" s="14" t="s">
        <v>385</v>
      </c>
      <c r="C324" s="15">
        <v>10</v>
      </c>
      <c r="D324" s="16">
        <v>1019.69</v>
      </c>
      <c r="E324" s="17">
        <f t="shared" ref="E324:E387" si="15">D324/C324</f>
        <v>101.96900000000001</v>
      </c>
      <c r="F324" s="18">
        <f t="shared" ref="F324:F387" si="16">IFERROR(C324*_xlfn.XLOOKUP(E324,$J$4:$J$13,$K$4:$K$13,0,-1),0)</f>
        <v>20</v>
      </c>
      <c r="G324" s="18" t="str">
        <f t="shared" ref="G324:G387" si="17">IFERROR(VLOOKUP(F324,$J$16:$K$19,2,TRUE),"SEM PREMIAÇÃO")</f>
        <v>Sem premiação</v>
      </c>
    </row>
    <row r="325" spans="2:7" ht="20.100000000000001" customHeight="1" x14ac:dyDescent="0.25">
      <c r="B325" s="14" t="s">
        <v>386</v>
      </c>
      <c r="C325" s="15">
        <v>10</v>
      </c>
      <c r="D325" s="16">
        <v>2109.52</v>
      </c>
      <c r="E325" s="17">
        <f t="shared" si="15"/>
        <v>210.952</v>
      </c>
      <c r="F325" s="18">
        <f t="shared" si="16"/>
        <v>40</v>
      </c>
      <c r="G325" s="18" t="str">
        <f t="shared" si="17"/>
        <v>Sem premiação</v>
      </c>
    </row>
    <row r="326" spans="2:7" ht="20.100000000000001" customHeight="1" x14ac:dyDescent="0.25">
      <c r="B326" s="14" t="s">
        <v>387</v>
      </c>
      <c r="C326" s="15">
        <v>10</v>
      </c>
      <c r="D326" s="16">
        <v>1060.6600000000001</v>
      </c>
      <c r="E326" s="17">
        <f t="shared" si="15"/>
        <v>106.066</v>
      </c>
      <c r="F326" s="18">
        <f t="shared" si="16"/>
        <v>20</v>
      </c>
      <c r="G326" s="18" t="str">
        <f t="shared" si="17"/>
        <v>Sem premiação</v>
      </c>
    </row>
    <row r="327" spans="2:7" ht="20.100000000000001" customHeight="1" x14ac:dyDescent="0.25">
      <c r="B327" s="14" t="s">
        <v>388</v>
      </c>
      <c r="C327" s="15">
        <v>10</v>
      </c>
      <c r="D327" s="16">
        <v>1521.33</v>
      </c>
      <c r="E327" s="17">
        <f t="shared" si="15"/>
        <v>152.13299999999998</v>
      </c>
      <c r="F327" s="18">
        <f t="shared" si="16"/>
        <v>30</v>
      </c>
      <c r="G327" s="18" t="str">
        <f t="shared" si="17"/>
        <v>Sem premiação</v>
      </c>
    </row>
    <row r="328" spans="2:7" ht="20.100000000000001" customHeight="1" x14ac:dyDescent="0.25">
      <c r="B328" s="14" t="s">
        <v>389</v>
      </c>
      <c r="C328" s="15">
        <v>10</v>
      </c>
      <c r="D328" s="16">
        <v>3317.75</v>
      </c>
      <c r="E328" s="17">
        <f t="shared" si="15"/>
        <v>331.77499999999998</v>
      </c>
      <c r="F328" s="18">
        <f t="shared" si="16"/>
        <v>60</v>
      </c>
      <c r="G328" s="18" t="str">
        <f t="shared" si="17"/>
        <v>Sem premiação</v>
      </c>
    </row>
    <row r="329" spans="2:7" ht="20.100000000000001" customHeight="1" x14ac:dyDescent="0.25">
      <c r="B329" s="14" t="s">
        <v>390</v>
      </c>
      <c r="C329" s="15">
        <v>10</v>
      </c>
      <c r="D329" s="16">
        <v>1248.19</v>
      </c>
      <c r="E329" s="17">
        <f t="shared" si="15"/>
        <v>124.819</v>
      </c>
      <c r="F329" s="18">
        <f t="shared" si="16"/>
        <v>20</v>
      </c>
      <c r="G329" s="18" t="str">
        <f t="shared" si="17"/>
        <v>Sem premiação</v>
      </c>
    </row>
    <row r="330" spans="2:7" ht="20.100000000000001" customHeight="1" x14ac:dyDescent="0.25">
      <c r="B330" s="14" t="s">
        <v>391</v>
      </c>
      <c r="C330" s="15">
        <v>10</v>
      </c>
      <c r="D330" s="16">
        <v>1055.24</v>
      </c>
      <c r="E330" s="17">
        <f t="shared" si="15"/>
        <v>105.524</v>
      </c>
      <c r="F330" s="18">
        <f t="shared" si="16"/>
        <v>20</v>
      </c>
      <c r="G330" s="18" t="str">
        <f t="shared" si="17"/>
        <v>Sem premiação</v>
      </c>
    </row>
    <row r="331" spans="2:7" ht="20.100000000000001" customHeight="1" x14ac:dyDescent="0.25">
      <c r="B331" s="14" t="s">
        <v>392</v>
      </c>
      <c r="C331" s="15">
        <v>10</v>
      </c>
      <c r="D331" s="16">
        <v>1020.9</v>
      </c>
      <c r="E331" s="17">
        <f t="shared" si="15"/>
        <v>102.09</v>
      </c>
      <c r="F331" s="18">
        <f t="shared" si="16"/>
        <v>20</v>
      </c>
      <c r="G331" s="18" t="str">
        <f t="shared" si="17"/>
        <v>Sem premiação</v>
      </c>
    </row>
    <row r="332" spans="2:7" ht="20.100000000000001" customHeight="1" x14ac:dyDescent="0.25">
      <c r="B332" s="14" t="s">
        <v>393</v>
      </c>
      <c r="C332" s="15">
        <v>9</v>
      </c>
      <c r="D332" s="16">
        <v>744.19</v>
      </c>
      <c r="E332" s="17">
        <f t="shared" si="15"/>
        <v>82.687777777777782</v>
      </c>
      <c r="F332" s="18">
        <f t="shared" si="16"/>
        <v>9</v>
      </c>
      <c r="G332" s="18" t="str">
        <f t="shared" si="17"/>
        <v>Sem premiação</v>
      </c>
    </row>
    <row r="333" spans="2:7" ht="20.100000000000001" customHeight="1" x14ac:dyDescent="0.25">
      <c r="B333" s="14" t="s">
        <v>394</v>
      </c>
      <c r="C333" s="15">
        <v>9</v>
      </c>
      <c r="D333" s="16">
        <v>1262.26</v>
      </c>
      <c r="E333" s="17">
        <f t="shared" si="15"/>
        <v>140.2511111111111</v>
      </c>
      <c r="F333" s="18">
        <f t="shared" si="16"/>
        <v>18</v>
      </c>
      <c r="G333" s="18" t="str">
        <f t="shared" si="17"/>
        <v>Sem premiação</v>
      </c>
    </row>
    <row r="334" spans="2:7" ht="20.100000000000001" customHeight="1" x14ac:dyDescent="0.25">
      <c r="B334" s="14" t="s">
        <v>395</v>
      </c>
      <c r="C334" s="15">
        <v>9</v>
      </c>
      <c r="D334" s="16">
        <v>2035.49</v>
      </c>
      <c r="E334" s="17">
        <f t="shared" si="15"/>
        <v>226.16555555555556</v>
      </c>
      <c r="F334" s="18">
        <f t="shared" si="16"/>
        <v>36</v>
      </c>
      <c r="G334" s="18" t="str">
        <f t="shared" si="17"/>
        <v>Sem premiação</v>
      </c>
    </row>
    <row r="335" spans="2:7" ht="20.100000000000001" customHeight="1" x14ac:dyDescent="0.25">
      <c r="B335" s="14" t="s">
        <v>396</v>
      </c>
      <c r="C335" s="15">
        <v>9</v>
      </c>
      <c r="D335" s="16">
        <v>800.88</v>
      </c>
      <c r="E335" s="17">
        <f t="shared" si="15"/>
        <v>88.986666666666665</v>
      </c>
      <c r="F335" s="18">
        <f t="shared" si="16"/>
        <v>9</v>
      </c>
      <c r="G335" s="18" t="str">
        <f t="shared" si="17"/>
        <v>Sem premiação</v>
      </c>
    </row>
    <row r="336" spans="2:7" ht="20.100000000000001" customHeight="1" x14ac:dyDescent="0.25">
      <c r="B336" s="14" t="s">
        <v>397</v>
      </c>
      <c r="C336" s="15">
        <v>9</v>
      </c>
      <c r="D336" s="16">
        <v>622</v>
      </c>
      <c r="E336" s="17">
        <f t="shared" si="15"/>
        <v>69.111111111111114</v>
      </c>
      <c r="F336" s="18">
        <f t="shared" si="16"/>
        <v>9</v>
      </c>
      <c r="G336" s="18" t="str">
        <f t="shared" si="17"/>
        <v>Sem premiação</v>
      </c>
    </row>
    <row r="337" spans="2:7" ht="20.100000000000001" customHeight="1" x14ac:dyDescent="0.25">
      <c r="B337" s="14" t="s">
        <v>398</v>
      </c>
      <c r="C337" s="15">
        <v>9</v>
      </c>
      <c r="D337" s="16">
        <v>1221.32</v>
      </c>
      <c r="E337" s="17">
        <f t="shared" si="15"/>
        <v>135.70222222222222</v>
      </c>
      <c r="F337" s="18">
        <f t="shared" si="16"/>
        <v>18</v>
      </c>
      <c r="G337" s="18" t="str">
        <f t="shared" si="17"/>
        <v>Sem premiação</v>
      </c>
    </row>
    <row r="338" spans="2:7" ht="20.100000000000001" customHeight="1" x14ac:dyDescent="0.25">
      <c r="B338" s="14" t="s">
        <v>399</v>
      </c>
      <c r="C338" s="15">
        <v>9</v>
      </c>
      <c r="D338" s="16">
        <v>4012.7</v>
      </c>
      <c r="E338" s="17">
        <f t="shared" si="15"/>
        <v>445.85555555555555</v>
      </c>
      <c r="F338" s="18">
        <f t="shared" si="16"/>
        <v>72</v>
      </c>
      <c r="G338" s="18" t="str">
        <f t="shared" si="17"/>
        <v>Sem premiação</v>
      </c>
    </row>
    <row r="339" spans="2:7" ht="20.100000000000001" customHeight="1" x14ac:dyDescent="0.25">
      <c r="B339" s="14" t="s">
        <v>400</v>
      </c>
      <c r="C339" s="15">
        <v>9</v>
      </c>
      <c r="D339" s="16">
        <v>1541.1</v>
      </c>
      <c r="E339" s="17">
        <f t="shared" si="15"/>
        <v>171.23333333333332</v>
      </c>
      <c r="F339" s="18">
        <f t="shared" si="16"/>
        <v>27</v>
      </c>
      <c r="G339" s="18" t="str">
        <f t="shared" si="17"/>
        <v>Sem premiação</v>
      </c>
    </row>
    <row r="340" spans="2:7" ht="20.100000000000001" customHeight="1" x14ac:dyDescent="0.25">
      <c r="B340" s="14" t="s">
        <v>401</v>
      </c>
      <c r="C340" s="15">
        <v>9</v>
      </c>
      <c r="D340" s="16">
        <v>1743.81</v>
      </c>
      <c r="E340" s="17">
        <f t="shared" si="15"/>
        <v>193.75666666666666</v>
      </c>
      <c r="F340" s="18">
        <f t="shared" si="16"/>
        <v>27</v>
      </c>
      <c r="G340" s="18" t="str">
        <f t="shared" si="17"/>
        <v>Sem premiação</v>
      </c>
    </row>
    <row r="341" spans="2:7" ht="20.100000000000001" customHeight="1" x14ac:dyDescent="0.25">
      <c r="B341" s="14" t="s">
        <v>402</v>
      </c>
      <c r="C341" s="15">
        <v>9</v>
      </c>
      <c r="D341" s="16">
        <v>1073.55</v>
      </c>
      <c r="E341" s="17">
        <f t="shared" si="15"/>
        <v>119.28333333333333</v>
      </c>
      <c r="F341" s="18">
        <f t="shared" si="16"/>
        <v>18</v>
      </c>
      <c r="G341" s="18" t="str">
        <f t="shared" si="17"/>
        <v>Sem premiação</v>
      </c>
    </row>
    <row r="342" spans="2:7" ht="20.100000000000001" customHeight="1" x14ac:dyDescent="0.25">
      <c r="B342" s="14" t="s">
        <v>403</v>
      </c>
      <c r="C342" s="15">
        <v>9</v>
      </c>
      <c r="D342" s="16">
        <v>2244.11</v>
      </c>
      <c r="E342" s="17">
        <f t="shared" si="15"/>
        <v>249.34555555555556</v>
      </c>
      <c r="F342" s="18">
        <f t="shared" si="16"/>
        <v>36</v>
      </c>
      <c r="G342" s="18" t="str">
        <f t="shared" si="17"/>
        <v>Sem premiação</v>
      </c>
    </row>
    <row r="343" spans="2:7" ht="20.100000000000001" customHeight="1" x14ac:dyDescent="0.25">
      <c r="B343" s="14" t="s">
        <v>404</v>
      </c>
      <c r="C343" s="15">
        <v>9</v>
      </c>
      <c r="D343" s="16">
        <v>1177.6300000000001</v>
      </c>
      <c r="E343" s="17">
        <f t="shared" si="15"/>
        <v>130.84777777777779</v>
      </c>
      <c r="F343" s="18">
        <f t="shared" si="16"/>
        <v>18</v>
      </c>
      <c r="G343" s="18" t="str">
        <f t="shared" si="17"/>
        <v>Sem premiação</v>
      </c>
    </row>
    <row r="344" spans="2:7" ht="20.100000000000001" customHeight="1" x14ac:dyDescent="0.25">
      <c r="B344" s="14" t="s">
        <v>405</v>
      </c>
      <c r="C344" s="15">
        <v>9</v>
      </c>
      <c r="D344" s="16">
        <v>654.15</v>
      </c>
      <c r="E344" s="17">
        <f t="shared" si="15"/>
        <v>72.683333333333337</v>
      </c>
      <c r="F344" s="18">
        <f t="shared" si="16"/>
        <v>9</v>
      </c>
      <c r="G344" s="18" t="str">
        <f t="shared" si="17"/>
        <v>Sem premiação</v>
      </c>
    </row>
    <row r="345" spans="2:7" ht="20.100000000000001" customHeight="1" x14ac:dyDescent="0.25">
      <c r="B345" s="14" t="s">
        <v>406</v>
      </c>
      <c r="C345" s="15">
        <v>9</v>
      </c>
      <c r="D345" s="16">
        <v>1577.96</v>
      </c>
      <c r="E345" s="17">
        <f t="shared" si="15"/>
        <v>175.32888888888888</v>
      </c>
      <c r="F345" s="18">
        <f t="shared" si="16"/>
        <v>27</v>
      </c>
      <c r="G345" s="18" t="str">
        <f t="shared" si="17"/>
        <v>Sem premiação</v>
      </c>
    </row>
    <row r="346" spans="2:7" ht="20.100000000000001" customHeight="1" x14ac:dyDescent="0.25">
      <c r="B346" s="14" t="s">
        <v>407</v>
      </c>
      <c r="C346" s="15">
        <v>9</v>
      </c>
      <c r="D346" s="16">
        <v>1173.23</v>
      </c>
      <c r="E346" s="17">
        <f t="shared" si="15"/>
        <v>130.35888888888888</v>
      </c>
      <c r="F346" s="18">
        <f t="shared" si="16"/>
        <v>18</v>
      </c>
      <c r="G346" s="18" t="str">
        <f t="shared" si="17"/>
        <v>Sem premiação</v>
      </c>
    </row>
    <row r="347" spans="2:7" ht="20.100000000000001" customHeight="1" x14ac:dyDescent="0.25">
      <c r="B347" s="14" t="s">
        <v>408</v>
      </c>
      <c r="C347" s="15">
        <v>9</v>
      </c>
      <c r="D347" s="16">
        <v>1784.09</v>
      </c>
      <c r="E347" s="17">
        <f t="shared" si="15"/>
        <v>198.23222222222222</v>
      </c>
      <c r="F347" s="18">
        <f t="shared" si="16"/>
        <v>27</v>
      </c>
      <c r="G347" s="18" t="str">
        <f t="shared" si="17"/>
        <v>Sem premiação</v>
      </c>
    </row>
    <row r="348" spans="2:7" ht="20.100000000000001" customHeight="1" x14ac:dyDescent="0.25">
      <c r="B348" s="14" t="s">
        <v>409</v>
      </c>
      <c r="C348" s="15">
        <v>9</v>
      </c>
      <c r="D348" s="16">
        <v>741.54</v>
      </c>
      <c r="E348" s="17">
        <f t="shared" si="15"/>
        <v>82.393333333333331</v>
      </c>
      <c r="F348" s="18">
        <f t="shared" si="16"/>
        <v>9</v>
      </c>
      <c r="G348" s="18" t="str">
        <f t="shared" si="17"/>
        <v>Sem premiação</v>
      </c>
    </row>
    <row r="349" spans="2:7" ht="20.100000000000001" customHeight="1" x14ac:dyDescent="0.25">
      <c r="B349" s="14" t="s">
        <v>410</v>
      </c>
      <c r="C349" s="15">
        <v>9</v>
      </c>
      <c r="D349" s="16">
        <v>2322.3200000000002</v>
      </c>
      <c r="E349" s="17">
        <f t="shared" si="15"/>
        <v>258.03555555555556</v>
      </c>
      <c r="F349" s="18">
        <f t="shared" si="16"/>
        <v>45</v>
      </c>
      <c r="G349" s="18" t="str">
        <f t="shared" si="17"/>
        <v>Sem premiação</v>
      </c>
    </row>
    <row r="350" spans="2:7" ht="20.100000000000001" customHeight="1" x14ac:dyDescent="0.25">
      <c r="B350" s="14" t="s">
        <v>411</v>
      </c>
      <c r="C350" s="15">
        <v>9</v>
      </c>
      <c r="D350" s="16">
        <v>2032.63</v>
      </c>
      <c r="E350" s="17">
        <f t="shared" si="15"/>
        <v>225.84777777777779</v>
      </c>
      <c r="F350" s="18">
        <f t="shared" si="16"/>
        <v>36</v>
      </c>
      <c r="G350" s="18" t="str">
        <f t="shared" si="17"/>
        <v>Sem premiação</v>
      </c>
    </row>
    <row r="351" spans="2:7" ht="20.100000000000001" customHeight="1" x14ac:dyDescent="0.25">
      <c r="B351" s="14" t="s">
        <v>412</v>
      </c>
      <c r="C351" s="15">
        <v>9</v>
      </c>
      <c r="D351" s="16">
        <v>911.19</v>
      </c>
      <c r="E351" s="17">
        <f t="shared" si="15"/>
        <v>101.24333333333334</v>
      </c>
      <c r="F351" s="18">
        <f t="shared" si="16"/>
        <v>18</v>
      </c>
      <c r="G351" s="18" t="str">
        <f t="shared" si="17"/>
        <v>Sem premiação</v>
      </c>
    </row>
    <row r="352" spans="2:7" ht="20.100000000000001" customHeight="1" x14ac:dyDescent="0.25">
      <c r="B352" s="14" t="s">
        <v>413</v>
      </c>
      <c r="C352" s="15">
        <v>9</v>
      </c>
      <c r="D352" s="16">
        <v>1453.15</v>
      </c>
      <c r="E352" s="17">
        <f t="shared" si="15"/>
        <v>161.46111111111111</v>
      </c>
      <c r="F352" s="18">
        <f t="shared" si="16"/>
        <v>27</v>
      </c>
      <c r="G352" s="18" t="str">
        <f t="shared" si="17"/>
        <v>Sem premiação</v>
      </c>
    </row>
    <row r="353" spans="2:7" ht="20.100000000000001" customHeight="1" x14ac:dyDescent="0.25">
      <c r="B353" s="14" t="s">
        <v>414</v>
      </c>
      <c r="C353" s="15">
        <v>9</v>
      </c>
      <c r="D353" s="16">
        <v>876.04</v>
      </c>
      <c r="E353" s="17">
        <f t="shared" si="15"/>
        <v>97.337777777777774</v>
      </c>
      <c r="F353" s="18">
        <f t="shared" si="16"/>
        <v>9</v>
      </c>
      <c r="G353" s="18" t="str">
        <f t="shared" si="17"/>
        <v>Sem premiação</v>
      </c>
    </row>
    <row r="354" spans="2:7" ht="20.100000000000001" customHeight="1" x14ac:dyDescent="0.25">
      <c r="B354" s="14" t="s">
        <v>415</v>
      </c>
      <c r="C354" s="15">
        <v>9</v>
      </c>
      <c r="D354" s="16">
        <v>1400.47</v>
      </c>
      <c r="E354" s="17">
        <f t="shared" si="15"/>
        <v>155.60777777777778</v>
      </c>
      <c r="F354" s="18">
        <f t="shared" si="16"/>
        <v>27</v>
      </c>
      <c r="G354" s="18" t="str">
        <f t="shared" si="17"/>
        <v>Sem premiação</v>
      </c>
    </row>
    <row r="355" spans="2:7" ht="20.100000000000001" customHeight="1" x14ac:dyDescent="0.25">
      <c r="B355" s="14" t="s">
        <v>416</v>
      </c>
      <c r="C355" s="15">
        <v>9</v>
      </c>
      <c r="D355" s="16">
        <v>2061.4699999999998</v>
      </c>
      <c r="E355" s="17">
        <f t="shared" si="15"/>
        <v>229.05222222222221</v>
      </c>
      <c r="F355" s="18">
        <f t="shared" si="16"/>
        <v>36</v>
      </c>
      <c r="G355" s="18" t="str">
        <f t="shared" si="17"/>
        <v>Sem premiação</v>
      </c>
    </row>
    <row r="356" spans="2:7" ht="20.100000000000001" customHeight="1" x14ac:dyDescent="0.25">
      <c r="B356" s="14" t="s">
        <v>417</v>
      </c>
      <c r="C356" s="15">
        <v>9</v>
      </c>
      <c r="D356" s="16">
        <v>1606.23</v>
      </c>
      <c r="E356" s="17">
        <f t="shared" si="15"/>
        <v>178.47</v>
      </c>
      <c r="F356" s="18">
        <f t="shared" si="16"/>
        <v>27</v>
      </c>
      <c r="G356" s="18" t="str">
        <f t="shared" si="17"/>
        <v>Sem premiação</v>
      </c>
    </row>
    <row r="357" spans="2:7" ht="20.100000000000001" customHeight="1" x14ac:dyDescent="0.25">
      <c r="B357" s="14" t="s">
        <v>418</v>
      </c>
      <c r="C357" s="15">
        <v>8</v>
      </c>
      <c r="D357" s="16">
        <v>2334.88</v>
      </c>
      <c r="E357" s="17">
        <f t="shared" si="15"/>
        <v>291.86</v>
      </c>
      <c r="F357" s="18">
        <f t="shared" si="16"/>
        <v>40</v>
      </c>
      <c r="G357" s="18" t="str">
        <f t="shared" si="17"/>
        <v>Sem premiação</v>
      </c>
    </row>
    <row r="358" spans="2:7" ht="20.100000000000001" customHeight="1" x14ac:dyDescent="0.25">
      <c r="B358" s="14" t="s">
        <v>419</v>
      </c>
      <c r="C358" s="15">
        <v>8</v>
      </c>
      <c r="D358" s="16">
        <v>1014.33</v>
      </c>
      <c r="E358" s="17">
        <f t="shared" si="15"/>
        <v>126.79125000000001</v>
      </c>
      <c r="F358" s="18">
        <f t="shared" si="16"/>
        <v>16</v>
      </c>
      <c r="G358" s="18" t="str">
        <f t="shared" si="17"/>
        <v>Sem premiação</v>
      </c>
    </row>
    <row r="359" spans="2:7" ht="20.100000000000001" customHeight="1" x14ac:dyDescent="0.25">
      <c r="B359" s="14" t="s">
        <v>420</v>
      </c>
      <c r="C359" s="15">
        <v>8</v>
      </c>
      <c r="D359" s="16">
        <v>1403.55</v>
      </c>
      <c r="E359" s="17">
        <f t="shared" si="15"/>
        <v>175.44374999999999</v>
      </c>
      <c r="F359" s="18">
        <f t="shared" si="16"/>
        <v>24</v>
      </c>
      <c r="G359" s="18" t="str">
        <f t="shared" si="17"/>
        <v>Sem premiação</v>
      </c>
    </row>
    <row r="360" spans="2:7" ht="20.100000000000001" customHeight="1" x14ac:dyDescent="0.25">
      <c r="B360" s="14" t="s">
        <v>421</v>
      </c>
      <c r="C360" s="15">
        <v>8</v>
      </c>
      <c r="D360" s="16">
        <v>1040.2</v>
      </c>
      <c r="E360" s="17">
        <f t="shared" si="15"/>
        <v>130.02500000000001</v>
      </c>
      <c r="F360" s="18">
        <f t="shared" si="16"/>
        <v>16</v>
      </c>
      <c r="G360" s="18" t="str">
        <f t="shared" si="17"/>
        <v>Sem premiação</v>
      </c>
    </row>
    <row r="361" spans="2:7" ht="20.100000000000001" customHeight="1" x14ac:dyDescent="0.25">
      <c r="B361" s="14" t="s">
        <v>422</v>
      </c>
      <c r="C361" s="15">
        <v>8</v>
      </c>
      <c r="D361" s="16">
        <v>931.07</v>
      </c>
      <c r="E361" s="17">
        <f t="shared" si="15"/>
        <v>116.38375000000001</v>
      </c>
      <c r="F361" s="18">
        <f t="shared" si="16"/>
        <v>16</v>
      </c>
      <c r="G361" s="18" t="str">
        <f t="shared" si="17"/>
        <v>Sem premiação</v>
      </c>
    </row>
    <row r="362" spans="2:7" ht="20.100000000000001" customHeight="1" x14ac:dyDescent="0.25">
      <c r="B362" s="14" t="s">
        <v>423</v>
      </c>
      <c r="C362" s="15">
        <v>8</v>
      </c>
      <c r="D362" s="16">
        <v>1224.06</v>
      </c>
      <c r="E362" s="17">
        <f t="shared" si="15"/>
        <v>153.00749999999999</v>
      </c>
      <c r="F362" s="18">
        <f t="shared" si="16"/>
        <v>24</v>
      </c>
      <c r="G362" s="18" t="str">
        <f t="shared" si="17"/>
        <v>Sem premiação</v>
      </c>
    </row>
    <row r="363" spans="2:7" ht="20.100000000000001" customHeight="1" x14ac:dyDescent="0.25">
      <c r="B363" s="14" t="s">
        <v>424</v>
      </c>
      <c r="C363" s="15">
        <v>8</v>
      </c>
      <c r="D363" s="16">
        <v>1518.78</v>
      </c>
      <c r="E363" s="17">
        <f t="shared" si="15"/>
        <v>189.8475</v>
      </c>
      <c r="F363" s="18">
        <f t="shared" si="16"/>
        <v>24</v>
      </c>
      <c r="G363" s="18" t="str">
        <f t="shared" si="17"/>
        <v>Sem premiação</v>
      </c>
    </row>
    <row r="364" spans="2:7" ht="20.100000000000001" customHeight="1" x14ac:dyDescent="0.25">
      <c r="B364" s="14" t="s">
        <v>425</v>
      </c>
      <c r="C364" s="15">
        <v>8</v>
      </c>
      <c r="D364" s="16">
        <v>629.28</v>
      </c>
      <c r="E364" s="17">
        <f t="shared" si="15"/>
        <v>78.66</v>
      </c>
      <c r="F364" s="18">
        <f t="shared" si="16"/>
        <v>8</v>
      </c>
      <c r="G364" s="18" t="str">
        <f t="shared" si="17"/>
        <v>Sem premiação</v>
      </c>
    </row>
    <row r="365" spans="2:7" ht="20.100000000000001" customHeight="1" x14ac:dyDescent="0.25">
      <c r="B365" s="14" t="s">
        <v>426</v>
      </c>
      <c r="C365" s="15">
        <v>8</v>
      </c>
      <c r="D365" s="16">
        <v>855.64</v>
      </c>
      <c r="E365" s="17">
        <f t="shared" si="15"/>
        <v>106.955</v>
      </c>
      <c r="F365" s="18">
        <f t="shared" si="16"/>
        <v>16</v>
      </c>
      <c r="G365" s="18" t="str">
        <f t="shared" si="17"/>
        <v>Sem premiação</v>
      </c>
    </row>
    <row r="366" spans="2:7" ht="20.100000000000001" customHeight="1" x14ac:dyDescent="0.25">
      <c r="B366" s="14" t="s">
        <v>427</v>
      </c>
      <c r="C366" s="15">
        <v>8</v>
      </c>
      <c r="D366" s="16">
        <v>1365.9</v>
      </c>
      <c r="E366" s="17">
        <f t="shared" si="15"/>
        <v>170.73750000000001</v>
      </c>
      <c r="F366" s="18">
        <f t="shared" si="16"/>
        <v>24</v>
      </c>
      <c r="G366" s="18" t="str">
        <f t="shared" si="17"/>
        <v>Sem premiação</v>
      </c>
    </row>
    <row r="367" spans="2:7" ht="20.100000000000001" customHeight="1" x14ac:dyDescent="0.25">
      <c r="B367" s="14" t="s">
        <v>428</v>
      </c>
      <c r="C367" s="15">
        <v>8</v>
      </c>
      <c r="D367" s="16">
        <v>1156.8599999999999</v>
      </c>
      <c r="E367" s="17">
        <f t="shared" si="15"/>
        <v>144.60749999999999</v>
      </c>
      <c r="F367" s="18">
        <f t="shared" si="16"/>
        <v>16</v>
      </c>
      <c r="G367" s="18" t="str">
        <f t="shared" si="17"/>
        <v>Sem premiação</v>
      </c>
    </row>
    <row r="368" spans="2:7" ht="20.100000000000001" customHeight="1" x14ac:dyDescent="0.25">
      <c r="B368" s="14" t="s">
        <v>429</v>
      </c>
      <c r="C368" s="15">
        <v>8</v>
      </c>
      <c r="D368" s="16">
        <v>727.57</v>
      </c>
      <c r="E368" s="17">
        <f t="shared" si="15"/>
        <v>90.946250000000006</v>
      </c>
      <c r="F368" s="18">
        <f t="shared" si="16"/>
        <v>8</v>
      </c>
      <c r="G368" s="18" t="str">
        <f t="shared" si="17"/>
        <v>Sem premiação</v>
      </c>
    </row>
    <row r="369" spans="2:7" ht="20.100000000000001" customHeight="1" x14ac:dyDescent="0.25">
      <c r="B369" s="14" t="s">
        <v>430</v>
      </c>
      <c r="C369" s="15">
        <v>8</v>
      </c>
      <c r="D369" s="16">
        <v>700.54</v>
      </c>
      <c r="E369" s="17">
        <f t="shared" si="15"/>
        <v>87.567499999999995</v>
      </c>
      <c r="F369" s="18">
        <f t="shared" si="16"/>
        <v>8</v>
      </c>
      <c r="G369" s="18" t="str">
        <f t="shared" si="17"/>
        <v>Sem premiação</v>
      </c>
    </row>
    <row r="370" spans="2:7" ht="20.100000000000001" customHeight="1" x14ac:dyDescent="0.25">
      <c r="B370" s="14" t="s">
        <v>431</v>
      </c>
      <c r="C370" s="15">
        <v>8</v>
      </c>
      <c r="D370" s="16">
        <v>1170.5999999999999</v>
      </c>
      <c r="E370" s="17">
        <f t="shared" si="15"/>
        <v>146.32499999999999</v>
      </c>
      <c r="F370" s="18">
        <f t="shared" si="16"/>
        <v>16</v>
      </c>
      <c r="G370" s="18" t="str">
        <f t="shared" si="17"/>
        <v>Sem premiação</v>
      </c>
    </row>
    <row r="371" spans="2:7" ht="20.100000000000001" customHeight="1" x14ac:dyDescent="0.25">
      <c r="B371" s="14" t="s">
        <v>432</v>
      </c>
      <c r="C371" s="15">
        <v>8</v>
      </c>
      <c r="D371" s="16">
        <v>1052.68</v>
      </c>
      <c r="E371" s="17">
        <f t="shared" si="15"/>
        <v>131.58500000000001</v>
      </c>
      <c r="F371" s="18">
        <f t="shared" si="16"/>
        <v>16</v>
      </c>
      <c r="G371" s="18" t="str">
        <f t="shared" si="17"/>
        <v>Sem premiação</v>
      </c>
    </row>
    <row r="372" spans="2:7" ht="20.100000000000001" customHeight="1" x14ac:dyDescent="0.25">
      <c r="B372" s="14" t="s">
        <v>433</v>
      </c>
      <c r="C372" s="15">
        <v>8</v>
      </c>
      <c r="D372" s="16">
        <v>996.85</v>
      </c>
      <c r="E372" s="17">
        <f t="shared" si="15"/>
        <v>124.60625</v>
      </c>
      <c r="F372" s="18">
        <f t="shared" si="16"/>
        <v>16</v>
      </c>
      <c r="G372" s="18" t="str">
        <f t="shared" si="17"/>
        <v>Sem premiação</v>
      </c>
    </row>
    <row r="373" spans="2:7" ht="20.100000000000001" customHeight="1" x14ac:dyDescent="0.25">
      <c r="B373" s="14" t="s">
        <v>434</v>
      </c>
      <c r="C373" s="15">
        <v>8</v>
      </c>
      <c r="D373" s="16">
        <v>705.07</v>
      </c>
      <c r="E373" s="17">
        <f t="shared" si="15"/>
        <v>88.133750000000006</v>
      </c>
      <c r="F373" s="18">
        <f t="shared" si="16"/>
        <v>8</v>
      </c>
      <c r="G373" s="18" t="str">
        <f t="shared" si="17"/>
        <v>Sem premiação</v>
      </c>
    </row>
    <row r="374" spans="2:7" ht="20.100000000000001" customHeight="1" x14ac:dyDescent="0.25">
      <c r="B374" s="14" t="s">
        <v>435</v>
      </c>
      <c r="C374" s="15">
        <v>8</v>
      </c>
      <c r="D374" s="16">
        <v>1037.17</v>
      </c>
      <c r="E374" s="17">
        <f t="shared" si="15"/>
        <v>129.64625000000001</v>
      </c>
      <c r="F374" s="18">
        <f t="shared" si="16"/>
        <v>16</v>
      </c>
      <c r="G374" s="18" t="str">
        <f t="shared" si="17"/>
        <v>Sem premiação</v>
      </c>
    </row>
    <row r="375" spans="2:7" ht="20.100000000000001" customHeight="1" x14ac:dyDescent="0.25">
      <c r="B375" s="14" t="s">
        <v>436</v>
      </c>
      <c r="C375" s="15">
        <v>8</v>
      </c>
      <c r="D375" s="16">
        <v>956.37</v>
      </c>
      <c r="E375" s="17">
        <f t="shared" si="15"/>
        <v>119.54625</v>
      </c>
      <c r="F375" s="18">
        <f t="shared" si="16"/>
        <v>16</v>
      </c>
      <c r="G375" s="18" t="str">
        <f t="shared" si="17"/>
        <v>Sem premiação</v>
      </c>
    </row>
    <row r="376" spans="2:7" ht="20.100000000000001" customHeight="1" x14ac:dyDescent="0.25">
      <c r="B376" s="14" t="s">
        <v>437</v>
      </c>
      <c r="C376" s="15">
        <v>8</v>
      </c>
      <c r="D376" s="16">
        <v>674.54</v>
      </c>
      <c r="E376" s="17">
        <f t="shared" si="15"/>
        <v>84.317499999999995</v>
      </c>
      <c r="F376" s="18">
        <f t="shared" si="16"/>
        <v>8</v>
      </c>
      <c r="G376" s="18" t="str">
        <f t="shared" si="17"/>
        <v>Sem premiação</v>
      </c>
    </row>
    <row r="377" spans="2:7" ht="20.100000000000001" customHeight="1" x14ac:dyDescent="0.25">
      <c r="B377" s="14" t="s">
        <v>438</v>
      </c>
      <c r="C377" s="15">
        <v>8</v>
      </c>
      <c r="D377" s="16">
        <v>983.13</v>
      </c>
      <c r="E377" s="17">
        <f t="shared" si="15"/>
        <v>122.89125</v>
      </c>
      <c r="F377" s="18">
        <f t="shared" si="16"/>
        <v>16</v>
      </c>
      <c r="G377" s="18" t="str">
        <f t="shared" si="17"/>
        <v>Sem premiação</v>
      </c>
    </row>
    <row r="378" spans="2:7" ht="20.100000000000001" customHeight="1" x14ac:dyDescent="0.25">
      <c r="B378" s="14" t="s">
        <v>439</v>
      </c>
      <c r="C378" s="15">
        <v>8</v>
      </c>
      <c r="D378" s="16">
        <v>1215.3699999999999</v>
      </c>
      <c r="E378" s="17">
        <f t="shared" si="15"/>
        <v>151.92124999999999</v>
      </c>
      <c r="F378" s="18">
        <f t="shared" si="16"/>
        <v>24</v>
      </c>
      <c r="G378" s="18" t="str">
        <f t="shared" si="17"/>
        <v>Sem premiação</v>
      </c>
    </row>
    <row r="379" spans="2:7" ht="20.100000000000001" customHeight="1" x14ac:dyDescent="0.25">
      <c r="B379" s="14" t="s">
        <v>440</v>
      </c>
      <c r="C379" s="15">
        <v>8</v>
      </c>
      <c r="D379" s="16">
        <v>1394.32</v>
      </c>
      <c r="E379" s="17">
        <f t="shared" si="15"/>
        <v>174.29</v>
      </c>
      <c r="F379" s="18">
        <f t="shared" si="16"/>
        <v>24</v>
      </c>
      <c r="G379" s="18" t="str">
        <f t="shared" si="17"/>
        <v>Sem premiação</v>
      </c>
    </row>
    <row r="380" spans="2:7" ht="20.100000000000001" customHeight="1" x14ac:dyDescent="0.25">
      <c r="B380" s="14" t="s">
        <v>441</v>
      </c>
      <c r="C380" s="15">
        <v>8</v>
      </c>
      <c r="D380" s="16">
        <v>936.4</v>
      </c>
      <c r="E380" s="17">
        <f t="shared" si="15"/>
        <v>117.05</v>
      </c>
      <c r="F380" s="18">
        <f t="shared" si="16"/>
        <v>16</v>
      </c>
      <c r="G380" s="18" t="str">
        <f t="shared" si="17"/>
        <v>Sem premiação</v>
      </c>
    </row>
    <row r="381" spans="2:7" ht="20.100000000000001" customHeight="1" x14ac:dyDescent="0.25">
      <c r="B381" s="14" t="s">
        <v>442</v>
      </c>
      <c r="C381" s="15">
        <v>8</v>
      </c>
      <c r="D381" s="16">
        <v>1401.94</v>
      </c>
      <c r="E381" s="17">
        <f t="shared" si="15"/>
        <v>175.24250000000001</v>
      </c>
      <c r="F381" s="18">
        <f t="shared" si="16"/>
        <v>24</v>
      </c>
      <c r="G381" s="18" t="str">
        <f t="shared" si="17"/>
        <v>Sem premiação</v>
      </c>
    </row>
    <row r="382" spans="2:7" ht="20.100000000000001" customHeight="1" x14ac:dyDescent="0.25">
      <c r="B382" s="14" t="s">
        <v>443</v>
      </c>
      <c r="C382" s="15">
        <v>7</v>
      </c>
      <c r="D382" s="16">
        <v>834.84</v>
      </c>
      <c r="E382" s="17">
        <f t="shared" si="15"/>
        <v>119.26285714285714</v>
      </c>
      <c r="F382" s="18">
        <f t="shared" si="16"/>
        <v>14</v>
      </c>
      <c r="G382" s="18" t="str">
        <f t="shared" si="17"/>
        <v>Sem premiação</v>
      </c>
    </row>
    <row r="383" spans="2:7" ht="20.100000000000001" customHeight="1" x14ac:dyDescent="0.25">
      <c r="B383" s="14" t="s">
        <v>444</v>
      </c>
      <c r="C383" s="15">
        <v>7</v>
      </c>
      <c r="D383" s="16">
        <v>730.56</v>
      </c>
      <c r="E383" s="17">
        <f t="shared" si="15"/>
        <v>104.36571428571428</v>
      </c>
      <c r="F383" s="18">
        <f t="shared" si="16"/>
        <v>14</v>
      </c>
      <c r="G383" s="18" t="str">
        <f t="shared" si="17"/>
        <v>Sem premiação</v>
      </c>
    </row>
    <row r="384" spans="2:7" ht="20.100000000000001" customHeight="1" x14ac:dyDescent="0.25">
      <c r="B384" s="14" t="s">
        <v>445</v>
      </c>
      <c r="C384" s="15">
        <v>7</v>
      </c>
      <c r="D384" s="16">
        <v>1142.21</v>
      </c>
      <c r="E384" s="17">
        <f t="shared" si="15"/>
        <v>163.17285714285714</v>
      </c>
      <c r="F384" s="18">
        <f t="shared" si="16"/>
        <v>21</v>
      </c>
      <c r="G384" s="18" t="str">
        <f t="shared" si="17"/>
        <v>Sem premiação</v>
      </c>
    </row>
    <row r="385" spans="2:7" ht="20.100000000000001" customHeight="1" x14ac:dyDescent="0.25">
      <c r="B385" s="14" t="s">
        <v>446</v>
      </c>
      <c r="C385" s="15">
        <v>7</v>
      </c>
      <c r="D385" s="16">
        <v>794.86</v>
      </c>
      <c r="E385" s="17">
        <f t="shared" si="15"/>
        <v>113.55142857142857</v>
      </c>
      <c r="F385" s="18">
        <f t="shared" si="16"/>
        <v>14</v>
      </c>
      <c r="G385" s="18" t="str">
        <f t="shared" si="17"/>
        <v>Sem premiação</v>
      </c>
    </row>
    <row r="386" spans="2:7" ht="20.100000000000001" customHeight="1" x14ac:dyDescent="0.25">
      <c r="B386" s="14" t="s">
        <v>447</v>
      </c>
      <c r="C386" s="15">
        <v>7</v>
      </c>
      <c r="D386" s="16">
        <v>903.46</v>
      </c>
      <c r="E386" s="17">
        <f t="shared" si="15"/>
        <v>129.06571428571428</v>
      </c>
      <c r="F386" s="18">
        <f t="shared" si="16"/>
        <v>14</v>
      </c>
      <c r="G386" s="18" t="str">
        <f t="shared" si="17"/>
        <v>Sem premiação</v>
      </c>
    </row>
    <row r="387" spans="2:7" ht="20.100000000000001" customHeight="1" x14ac:dyDescent="0.25">
      <c r="B387" s="14" t="s">
        <v>448</v>
      </c>
      <c r="C387" s="15">
        <v>7</v>
      </c>
      <c r="D387" s="16">
        <v>816.82</v>
      </c>
      <c r="E387" s="17">
        <f t="shared" si="15"/>
        <v>116.68857142857144</v>
      </c>
      <c r="F387" s="18">
        <f t="shared" si="16"/>
        <v>14</v>
      </c>
      <c r="G387" s="18" t="str">
        <f t="shared" si="17"/>
        <v>Sem premiação</v>
      </c>
    </row>
    <row r="388" spans="2:7" ht="20.100000000000001" customHeight="1" x14ac:dyDescent="0.25">
      <c r="B388" s="14" t="s">
        <v>449</v>
      </c>
      <c r="C388" s="15">
        <v>7</v>
      </c>
      <c r="D388" s="16">
        <v>1150.21</v>
      </c>
      <c r="E388" s="17">
        <f t="shared" ref="E388:E451" si="18">D388/C388</f>
        <v>164.31571428571428</v>
      </c>
      <c r="F388" s="18">
        <f t="shared" ref="F388:F451" si="19">IFERROR(C388*_xlfn.XLOOKUP(E388,$J$4:$J$13,$K$4:$K$13,0,-1),0)</f>
        <v>21</v>
      </c>
      <c r="G388" s="18" t="str">
        <f t="shared" ref="G388:G451" si="20">IFERROR(VLOOKUP(F388,$J$16:$K$19,2,TRUE),"SEM PREMIAÇÃO")</f>
        <v>Sem premiação</v>
      </c>
    </row>
    <row r="389" spans="2:7" ht="20.100000000000001" customHeight="1" x14ac:dyDescent="0.25">
      <c r="B389" s="14" t="s">
        <v>450</v>
      </c>
      <c r="C389" s="15">
        <v>7</v>
      </c>
      <c r="D389" s="16">
        <v>1024.3699999999999</v>
      </c>
      <c r="E389" s="17">
        <f t="shared" si="18"/>
        <v>146.33857142857141</v>
      </c>
      <c r="F389" s="18">
        <f t="shared" si="19"/>
        <v>14</v>
      </c>
      <c r="G389" s="18" t="str">
        <f t="shared" si="20"/>
        <v>Sem premiação</v>
      </c>
    </row>
    <row r="390" spans="2:7" ht="20.100000000000001" customHeight="1" x14ac:dyDescent="0.25">
      <c r="B390" s="14" t="s">
        <v>451</v>
      </c>
      <c r="C390" s="15">
        <v>7</v>
      </c>
      <c r="D390" s="16">
        <v>947.33</v>
      </c>
      <c r="E390" s="17">
        <f t="shared" si="18"/>
        <v>135.33285714285714</v>
      </c>
      <c r="F390" s="18">
        <f t="shared" si="19"/>
        <v>14</v>
      </c>
      <c r="G390" s="18" t="str">
        <f t="shared" si="20"/>
        <v>Sem premiação</v>
      </c>
    </row>
    <row r="391" spans="2:7" ht="20.100000000000001" customHeight="1" x14ac:dyDescent="0.25">
      <c r="B391" s="14" t="s">
        <v>452</v>
      </c>
      <c r="C391" s="15">
        <v>7</v>
      </c>
      <c r="D391" s="16">
        <v>1177.79</v>
      </c>
      <c r="E391" s="17">
        <f t="shared" si="18"/>
        <v>168.25571428571428</v>
      </c>
      <c r="F391" s="18">
        <f t="shared" si="19"/>
        <v>21</v>
      </c>
      <c r="G391" s="18" t="str">
        <f t="shared" si="20"/>
        <v>Sem premiação</v>
      </c>
    </row>
    <row r="392" spans="2:7" ht="20.100000000000001" customHeight="1" x14ac:dyDescent="0.25">
      <c r="B392" s="14" t="s">
        <v>453</v>
      </c>
      <c r="C392" s="15">
        <v>7</v>
      </c>
      <c r="D392" s="16">
        <v>1281.56</v>
      </c>
      <c r="E392" s="17">
        <f t="shared" si="18"/>
        <v>183.07999999999998</v>
      </c>
      <c r="F392" s="18">
        <f t="shared" si="19"/>
        <v>21</v>
      </c>
      <c r="G392" s="18" t="str">
        <f t="shared" si="20"/>
        <v>Sem premiação</v>
      </c>
    </row>
    <row r="393" spans="2:7" ht="20.100000000000001" customHeight="1" x14ac:dyDescent="0.25">
      <c r="B393" s="14" t="s">
        <v>454</v>
      </c>
      <c r="C393" s="15">
        <v>7</v>
      </c>
      <c r="D393" s="16">
        <v>1293.27</v>
      </c>
      <c r="E393" s="17">
        <f t="shared" si="18"/>
        <v>184.75285714285715</v>
      </c>
      <c r="F393" s="18">
        <f t="shared" si="19"/>
        <v>21</v>
      </c>
      <c r="G393" s="18" t="str">
        <f t="shared" si="20"/>
        <v>Sem premiação</v>
      </c>
    </row>
    <row r="394" spans="2:7" ht="20.100000000000001" customHeight="1" x14ac:dyDescent="0.25">
      <c r="B394" s="14" t="s">
        <v>455</v>
      </c>
      <c r="C394" s="15">
        <v>7</v>
      </c>
      <c r="D394" s="16">
        <v>3813.95</v>
      </c>
      <c r="E394" s="17">
        <f t="shared" si="18"/>
        <v>544.85</v>
      </c>
      <c r="F394" s="18">
        <f t="shared" si="19"/>
        <v>70</v>
      </c>
      <c r="G394" s="18" t="str">
        <f t="shared" si="20"/>
        <v>Sem premiação</v>
      </c>
    </row>
    <row r="395" spans="2:7" ht="20.100000000000001" customHeight="1" x14ac:dyDescent="0.25">
      <c r="B395" s="14" t="s">
        <v>456</v>
      </c>
      <c r="C395" s="15">
        <v>7</v>
      </c>
      <c r="D395" s="16">
        <v>1491.88</v>
      </c>
      <c r="E395" s="17">
        <f t="shared" si="18"/>
        <v>213.12571428571431</v>
      </c>
      <c r="F395" s="18">
        <f t="shared" si="19"/>
        <v>28</v>
      </c>
      <c r="G395" s="18" t="str">
        <f t="shared" si="20"/>
        <v>Sem premiação</v>
      </c>
    </row>
    <row r="396" spans="2:7" ht="20.100000000000001" customHeight="1" x14ac:dyDescent="0.25">
      <c r="B396" s="14" t="s">
        <v>457</v>
      </c>
      <c r="C396" s="15">
        <v>7</v>
      </c>
      <c r="D396" s="16">
        <v>1381.54</v>
      </c>
      <c r="E396" s="17">
        <f t="shared" si="18"/>
        <v>197.36285714285714</v>
      </c>
      <c r="F396" s="18">
        <f t="shared" si="19"/>
        <v>21</v>
      </c>
      <c r="G396" s="18" t="str">
        <f t="shared" si="20"/>
        <v>Sem premiação</v>
      </c>
    </row>
    <row r="397" spans="2:7" ht="20.100000000000001" customHeight="1" x14ac:dyDescent="0.25">
      <c r="B397" s="14" t="s">
        <v>458</v>
      </c>
      <c r="C397" s="15">
        <v>7</v>
      </c>
      <c r="D397" s="16">
        <v>1337.28</v>
      </c>
      <c r="E397" s="17">
        <f t="shared" si="18"/>
        <v>191.04</v>
      </c>
      <c r="F397" s="18">
        <f t="shared" si="19"/>
        <v>21</v>
      </c>
      <c r="G397" s="18" t="str">
        <f t="shared" si="20"/>
        <v>Sem premiação</v>
      </c>
    </row>
    <row r="398" spans="2:7" ht="20.100000000000001" customHeight="1" x14ac:dyDescent="0.25">
      <c r="B398" s="14" t="s">
        <v>459</v>
      </c>
      <c r="C398" s="15">
        <v>7</v>
      </c>
      <c r="D398" s="16">
        <v>533.97</v>
      </c>
      <c r="E398" s="17">
        <f t="shared" si="18"/>
        <v>76.281428571428577</v>
      </c>
      <c r="F398" s="18">
        <f t="shared" si="19"/>
        <v>7</v>
      </c>
      <c r="G398" s="18" t="str">
        <f t="shared" si="20"/>
        <v>Sem premiação</v>
      </c>
    </row>
    <row r="399" spans="2:7" ht="20.100000000000001" customHeight="1" x14ac:dyDescent="0.25">
      <c r="B399" s="14" t="s">
        <v>460</v>
      </c>
      <c r="C399" s="15">
        <v>7</v>
      </c>
      <c r="D399" s="16">
        <v>556.54</v>
      </c>
      <c r="E399" s="17">
        <f t="shared" si="18"/>
        <v>79.505714285714276</v>
      </c>
      <c r="F399" s="18">
        <f t="shared" si="19"/>
        <v>7</v>
      </c>
      <c r="G399" s="18" t="str">
        <f t="shared" si="20"/>
        <v>Sem premiação</v>
      </c>
    </row>
    <row r="400" spans="2:7" ht="20.100000000000001" customHeight="1" x14ac:dyDescent="0.25">
      <c r="B400" s="14" t="s">
        <v>461</v>
      </c>
      <c r="C400" s="15">
        <v>7</v>
      </c>
      <c r="D400" s="16">
        <v>978.9</v>
      </c>
      <c r="E400" s="17">
        <f t="shared" si="18"/>
        <v>139.84285714285713</v>
      </c>
      <c r="F400" s="18">
        <f t="shared" si="19"/>
        <v>14</v>
      </c>
      <c r="G400" s="18" t="str">
        <f t="shared" si="20"/>
        <v>Sem premiação</v>
      </c>
    </row>
    <row r="401" spans="2:7" ht="20.100000000000001" customHeight="1" x14ac:dyDescent="0.25">
      <c r="B401" s="14" t="s">
        <v>462</v>
      </c>
      <c r="C401" s="15">
        <v>7</v>
      </c>
      <c r="D401" s="16">
        <v>773.34</v>
      </c>
      <c r="E401" s="17">
        <f t="shared" si="18"/>
        <v>110.47714285714287</v>
      </c>
      <c r="F401" s="18">
        <f t="shared" si="19"/>
        <v>14</v>
      </c>
      <c r="G401" s="18" t="str">
        <f t="shared" si="20"/>
        <v>Sem premiação</v>
      </c>
    </row>
    <row r="402" spans="2:7" ht="20.100000000000001" customHeight="1" x14ac:dyDescent="0.25">
      <c r="B402" s="14" t="s">
        <v>463</v>
      </c>
      <c r="C402" s="15">
        <v>7</v>
      </c>
      <c r="D402" s="16">
        <v>705.3</v>
      </c>
      <c r="E402" s="17">
        <f t="shared" si="18"/>
        <v>100.75714285714285</v>
      </c>
      <c r="F402" s="18">
        <f t="shared" si="19"/>
        <v>14</v>
      </c>
      <c r="G402" s="18" t="str">
        <f t="shared" si="20"/>
        <v>Sem premiação</v>
      </c>
    </row>
    <row r="403" spans="2:7" ht="20.100000000000001" customHeight="1" x14ac:dyDescent="0.25">
      <c r="B403" s="14" t="s">
        <v>464</v>
      </c>
      <c r="C403" s="15">
        <v>7</v>
      </c>
      <c r="D403" s="16">
        <v>844.49</v>
      </c>
      <c r="E403" s="17">
        <f t="shared" si="18"/>
        <v>120.64142857142858</v>
      </c>
      <c r="F403" s="18">
        <f t="shared" si="19"/>
        <v>14</v>
      </c>
      <c r="G403" s="18" t="str">
        <f t="shared" si="20"/>
        <v>Sem premiação</v>
      </c>
    </row>
    <row r="404" spans="2:7" ht="20.100000000000001" customHeight="1" x14ac:dyDescent="0.25">
      <c r="B404" s="14" t="s">
        <v>465</v>
      </c>
      <c r="C404" s="15">
        <v>7</v>
      </c>
      <c r="D404" s="16">
        <v>984.04</v>
      </c>
      <c r="E404" s="17">
        <f t="shared" si="18"/>
        <v>140.57714285714286</v>
      </c>
      <c r="F404" s="18">
        <f t="shared" si="19"/>
        <v>14</v>
      </c>
      <c r="G404" s="18" t="str">
        <f t="shared" si="20"/>
        <v>Sem premiação</v>
      </c>
    </row>
    <row r="405" spans="2:7" ht="20.100000000000001" customHeight="1" x14ac:dyDescent="0.25">
      <c r="B405" s="14" t="s">
        <v>466</v>
      </c>
      <c r="C405" s="15">
        <v>7</v>
      </c>
      <c r="D405" s="16">
        <v>1453.01</v>
      </c>
      <c r="E405" s="17">
        <f t="shared" si="18"/>
        <v>207.57285714285715</v>
      </c>
      <c r="F405" s="18">
        <f t="shared" si="19"/>
        <v>28</v>
      </c>
      <c r="G405" s="18" t="str">
        <f t="shared" si="20"/>
        <v>Sem premiação</v>
      </c>
    </row>
    <row r="406" spans="2:7" ht="20.100000000000001" customHeight="1" x14ac:dyDescent="0.25">
      <c r="B406" s="14" t="s">
        <v>467</v>
      </c>
      <c r="C406" s="15">
        <v>7</v>
      </c>
      <c r="D406" s="16">
        <v>1352.69</v>
      </c>
      <c r="E406" s="17">
        <f t="shared" si="18"/>
        <v>193.24142857142857</v>
      </c>
      <c r="F406" s="18">
        <f t="shared" si="19"/>
        <v>21</v>
      </c>
      <c r="G406" s="18" t="str">
        <f t="shared" si="20"/>
        <v>Sem premiação</v>
      </c>
    </row>
    <row r="407" spans="2:7" ht="20.100000000000001" customHeight="1" x14ac:dyDescent="0.25">
      <c r="B407" s="14" t="s">
        <v>468</v>
      </c>
      <c r="C407" s="15">
        <v>7</v>
      </c>
      <c r="D407" s="16">
        <v>3167.28</v>
      </c>
      <c r="E407" s="17">
        <f t="shared" si="18"/>
        <v>452.46857142857147</v>
      </c>
      <c r="F407" s="18">
        <f t="shared" si="19"/>
        <v>63</v>
      </c>
      <c r="G407" s="18" t="str">
        <f t="shared" si="20"/>
        <v>Sem premiação</v>
      </c>
    </row>
    <row r="408" spans="2:7" ht="20.100000000000001" customHeight="1" x14ac:dyDescent="0.25">
      <c r="B408" s="14" t="s">
        <v>469</v>
      </c>
      <c r="C408" s="15">
        <v>7</v>
      </c>
      <c r="D408" s="16">
        <v>1767.68</v>
      </c>
      <c r="E408" s="17">
        <f t="shared" si="18"/>
        <v>252.52571428571429</v>
      </c>
      <c r="F408" s="18">
        <f t="shared" si="19"/>
        <v>35</v>
      </c>
      <c r="G408" s="18" t="str">
        <f t="shared" si="20"/>
        <v>Sem premiação</v>
      </c>
    </row>
    <row r="409" spans="2:7" ht="20.100000000000001" customHeight="1" x14ac:dyDescent="0.25">
      <c r="B409" s="14" t="s">
        <v>470</v>
      </c>
      <c r="C409" s="15">
        <v>6</v>
      </c>
      <c r="D409" s="16">
        <v>1196.76</v>
      </c>
      <c r="E409" s="17">
        <f t="shared" si="18"/>
        <v>199.46</v>
      </c>
      <c r="F409" s="18">
        <f t="shared" si="19"/>
        <v>18</v>
      </c>
      <c r="G409" s="18" t="str">
        <f t="shared" si="20"/>
        <v>Sem premiação</v>
      </c>
    </row>
    <row r="410" spans="2:7" ht="20.100000000000001" customHeight="1" x14ac:dyDescent="0.25">
      <c r="B410" s="14" t="s">
        <v>471</v>
      </c>
      <c r="C410" s="15">
        <v>6</v>
      </c>
      <c r="D410" s="16">
        <v>2192.0300000000002</v>
      </c>
      <c r="E410" s="17">
        <f t="shared" si="18"/>
        <v>365.33833333333337</v>
      </c>
      <c r="F410" s="18">
        <f t="shared" si="19"/>
        <v>42</v>
      </c>
      <c r="G410" s="18" t="str">
        <f t="shared" si="20"/>
        <v>Sem premiação</v>
      </c>
    </row>
    <row r="411" spans="2:7" ht="20.100000000000001" customHeight="1" x14ac:dyDescent="0.25">
      <c r="B411" s="14" t="s">
        <v>472</v>
      </c>
      <c r="C411" s="15">
        <v>6</v>
      </c>
      <c r="D411" s="16">
        <v>920.54</v>
      </c>
      <c r="E411" s="17">
        <f t="shared" si="18"/>
        <v>153.42333333333332</v>
      </c>
      <c r="F411" s="18">
        <f t="shared" si="19"/>
        <v>18</v>
      </c>
      <c r="G411" s="18" t="str">
        <f t="shared" si="20"/>
        <v>Sem premiação</v>
      </c>
    </row>
    <row r="412" spans="2:7" ht="20.100000000000001" customHeight="1" x14ac:dyDescent="0.25">
      <c r="B412" s="14" t="s">
        <v>473</v>
      </c>
      <c r="C412" s="15">
        <v>6</v>
      </c>
      <c r="D412" s="16">
        <v>675.91</v>
      </c>
      <c r="E412" s="17">
        <f t="shared" si="18"/>
        <v>112.65166666666666</v>
      </c>
      <c r="F412" s="18">
        <f t="shared" si="19"/>
        <v>12</v>
      </c>
      <c r="G412" s="18" t="str">
        <f t="shared" si="20"/>
        <v>Sem premiação</v>
      </c>
    </row>
    <row r="413" spans="2:7" ht="20.100000000000001" customHeight="1" x14ac:dyDescent="0.25">
      <c r="B413" s="14" t="s">
        <v>474</v>
      </c>
      <c r="C413" s="15">
        <v>6</v>
      </c>
      <c r="D413" s="16">
        <v>752.17</v>
      </c>
      <c r="E413" s="17">
        <f t="shared" si="18"/>
        <v>125.36166666666666</v>
      </c>
      <c r="F413" s="18">
        <f t="shared" si="19"/>
        <v>12</v>
      </c>
      <c r="G413" s="18" t="str">
        <f t="shared" si="20"/>
        <v>Sem premiação</v>
      </c>
    </row>
    <row r="414" spans="2:7" ht="20.100000000000001" customHeight="1" x14ac:dyDescent="0.25">
      <c r="B414" s="14" t="s">
        <v>475</v>
      </c>
      <c r="C414" s="15">
        <v>6</v>
      </c>
      <c r="D414" s="16">
        <v>826.59</v>
      </c>
      <c r="E414" s="17">
        <f t="shared" si="18"/>
        <v>137.76500000000001</v>
      </c>
      <c r="F414" s="18">
        <f t="shared" si="19"/>
        <v>12</v>
      </c>
      <c r="G414" s="18" t="str">
        <f t="shared" si="20"/>
        <v>Sem premiação</v>
      </c>
    </row>
    <row r="415" spans="2:7" ht="20.100000000000001" customHeight="1" x14ac:dyDescent="0.25">
      <c r="B415" s="14" t="s">
        <v>476</v>
      </c>
      <c r="C415" s="15">
        <v>6</v>
      </c>
      <c r="D415" s="16">
        <v>1294.75</v>
      </c>
      <c r="E415" s="17">
        <f t="shared" si="18"/>
        <v>215.79166666666666</v>
      </c>
      <c r="F415" s="18">
        <f t="shared" si="19"/>
        <v>24</v>
      </c>
      <c r="G415" s="18" t="str">
        <f t="shared" si="20"/>
        <v>Sem premiação</v>
      </c>
    </row>
    <row r="416" spans="2:7" ht="20.100000000000001" customHeight="1" x14ac:dyDescent="0.25">
      <c r="B416" s="14" t="s">
        <v>477</v>
      </c>
      <c r="C416" s="15">
        <v>6</v>
      </c>
      <c r="D416" s="16">
        <v>702.25</v>
      </c>
      <c r="E416" s="17">
        <f t="shared" si="18"/>
        <v>117.04166666666667</v>
      </c>
      <c r="F416" s="18">
        <f t="shared" si="19"/>
        <v>12</v>
      </c>
      <c r="G416" s="18" t="str">
        <f t="shared" si="20"/>
        <v>Sem premiação</v>
      </c>
    </row>
    <row r="417" spans="2:7" ht="20.100000000000001" customHeight="1" x14ac:dyDescent="0.25">
      <c r="B417" s="14" t="s">
        <v>478</v>
      </c>
      <c r="C417" s="15">
        <v>6</v>
      </c>
      <c r="D417" s="16">
        <v>1039.8699999999999</v>
      </c>
      <c r="E417" s="17">
        <f t="shared" si="18"/>
        <v>173.31166666666664</v>
      </c>
      <c r="F417" s="18">
        <f t="shared" si="19"/>
        <v>18</v>
      </c>
      <c r="G417" s="18" t="str">
        <f t="shared" si="20"/>
        <v>Sem premiação</v>
      </c>
    </row>
    <row r="418" spans="2:7" ht="20.100000000000001" customHeight="1" x14ac:dyDescent="0.25">
      <c r="B418" s="14" t="s">
        <v>479</v>
      </c>
      <c r="C418" s="15">
        <v>6</v>
      </c>
      <c r="D418" s="16">
        <v>363.11</v>
      </c>
      <c r="E418" s="17">
        <f t="shared" si="18"/>
        <v>60.518333333333338</v>
      </c>
      <c r="F418" s="18">
        <f t="shared" si="19"/>
        <v>6</v>
      </c>
      <c r="G418" s="18" t="str">
        <f t="shared" si="20"/>
        <v>Sem premiação</v>
      </c>
    </row>
    <row r="419" spans="2:7" ht="20.100000000000001" customHeight="1" x14ac:dyDescent="0.25">
      <c r="B419" s="14" t="s">
        <v>480</v>
      </c>
      <c r="C419" s="15">
        <v>6</v>
      </c>
      <c r="D419" s="16">
        <v>1335.64</v>
      </c>
      <c r="E419" s="17">
        <f t="shared" si="18"/>
        <v>222.60666666666668</v>
      </c>
      <c r="F419" s="18">
        <f t="shared" si="19"/>
        <v>24</v>
      </c>
      <c r="G419" s="18" t="str">
        <f t="shared" si="20"/>
        <v>Sem premiação</v>
      </c>
    </row>
    <row r="420" spans="2:7" ht="20.100000000000001" customHeight="1" x14ac:dyDescent="0.25">
      <c r="B420" s="14" t="s">
        <v>481</v>
      </c>
      <c r="C420" s="15">
        <v>6</v>
      </c>
      <c r="D420" s="16">
        <v>1260.6600000000001</v>
      </c>
      <c r="E420" s="17">
        <f t="shared" si="18"/>
        <v>210.11</v>
      </c>
      <c r="F420" s="18">
        <f t="shared" si="19"/>
        <v>24</v>
      </c>
      <c r="G420" s="18" t="str">
        <f t="shared" si="20"/>
        <v>Sem premiação</v>
      </c>
    </row>
    <row r="421" spans="2:7" ht="20.100000000000001" customHeight="1" x14ac:dyDescent="0.25">
      <c r="B421" s="14" t="s">
        <v>482</v>
      </c>
      <c r="C421" s="15">
        <v>6</v>
      </c>
      <c r="D421" s="16">
        <v>1076.98</v>
      </c>
      <c r="E421" s="17">
        <f t="shared" si="18"/>
        <v>179.49666666666667</v>
      </c>
      <c r="F421" s="18">
        <f t="shared" si="19"/>
        <v>18</v>
      </c>
      <c r="G421" s="18" t="str">
        <f t="shared" si="20"/>
        <v>Sem premiação</v>
      </c>
    </row>
    <row r="422" spans="2:7" ht="20.100000000000001" customHeight="1" x14ac:dyDescent="0.25">
      <c r="B422" s="14" t="s">
        <v>483</v>
      </c>
      <c r="C422" s="15">
        <v>6</v>
      </c>
      <c r="D422" s="16">
        <v>673.44</v>
      </c>
      <c r="E422" s="17">
        <f t="shared" si="18"/>
        <v>112.24000000000001</v>
      </c>
      <c r="F422" s="18">
        <f t="shared" si="19"/>
        <v>12</v>
      </c>
      <c r="G422" s="18" t="str">
        <f t="shared" si="20"/>
        <v>Sem premiação</v>
      </c>
    </row>
    <row r="423" spans="2:7" ht="20.100000000000001" customHeight="1" x14ac:dyDescent="0.25">
      <c r="B423" s="14" t="s">
        <v>484</v>
      </c>
      <c r="C423" s="15">
        <v>6</v>
      </c>
      <c r="D423" s="16">
        <v>997.83</v>
      </c>
      <c r="E423" s="17">
        <f t="shared" si="18"/>
        <v>166.30500000000001</v>
      </c>
      <c r="F423" s="18">
        <f t="shared" si="19"/>
        <v>18</v>
      </c>
      <c r="G423" s="18" t="str">
        <f t="shared" si="20"/>
        <v>Sem premiação</v>
      </c>
    </row>
    <row r="424" spans="2:7" ht="20.100000000000001" customHeight="1" x14ac:dyDescent="0.25">
      <c r="B424" s="14" t="s">
        <v>485</v>
      </c>
      <c r="C424" s="15">
        <v>6</v>
      </c>
      <c r="D424" s="16">
        <v>933.46</v>
      </c>
      <c r="E424" s="17">
        <f t="shared" si="18"/>
        <v>155.57666666666668</v>
      </c>
      <c r="F424" s="18">
        <f t="shared" si="19"/>
        <v>18</v>
      </c>
      <c r="G424" s="18" t="str">
        <f t="shared" si="20"/>
        <v>Sem premiação</v>
      </c>
    </row>
    <row r="425" spans="2:7" ht="20.100000000000001" customHeight="1" x14ac:dyDescent="0.25">
      <c r="B425" s="14" t="s">
        <v>486</v>
      </c>
      <c r="C425" s="15">
        <v>6</v>
      </c>
      <c r="D425" s="16">
        <v>833.02</v>
      </c>
      <c r="E425" s="17">
        <f t="shared" si="18"/>
        <v>138.83666666666667</v>
      </c>
      <c r="F425" s="18">
        <f t="shared" si="19"/>
        <v>12</v>
      </c>
      <c r="G425" s="18" t="str">
        <f t="shared" si="20"/>
        <v>Sem premiação</v>
      </c>
    </row>
    <row r="426" spans="2:7" ht="20.100000000000001" customHeight="1" x14ac:dyDescent="0.25">
      <c r="B426" s="14" t="s">
        <v>487</v>
      </c>
      <c r="C426" s="15">
        <v>6</v>
      </c>
      <c r="D426" s="16">
        <v>987.8</v>
      </c>
      <c r="E426" s="17">
        <f t="shared" si="18"/>
        <v>164.63333333333333</v>
      </c>
      <c r="F426" s="18">
        <f t="shared" si="19"/>
        <v>18</v>
      </c>
      <c r="G426" s="18" t="str">
        <f t="shared" si="20"/>
        <v>Sem premiação</v>
      </c>
    </row>
    <row r="427" spans="2:7" ht="20.100000000000001" customHeight="1" x14ac:dyDescent="0.25">
      <c r="B427" s="14" t="s">
        <v>488</v>
      </c>
      <c r="C427" s="15">
        <v>6</v>
      </c>
      <c r="D427" s="16">
        <v>854.71</v>
      </c>
      <c r="E427" s="17">
        <f t="shared" si="18"/>
        <v>142.45166666666668</v>
      </c>
      <c r="F427" s="18">
        <f t="shared" si="19"/>
        <v>12</v>
      </c>
      <c r="G427" s="18" t="str">
        <f t="shared" si="20"/>
        <v>Sem premiação</v>
      </c>
    </row>
    <row r="428" spans="2:7" ht="20.100000000000001" customHeight="1" x14ac:dyDescent="0.25">
      <c r="B428" s="14" t="s">
        <v>489</v>
      </c>
      <c r="C428" s="15">
        <v>6</v>
      </c>
      <c r="D428" s="16">
        <v>753.42</v>
      </c>
      <c r="E428" s="17">
        <f t="shared" si="18"/>
        <v>125.57</v>
      </c>
      <c r="F428" s="18">
        <f t="shared" si="19"/>
        <v>12</v>
      </c>
      <c r="G428" s="18" t="str">
        <f t="shared" si="20"/>
        <v>Sem premiação</v>
      </c>
    </row>
    <row r="429" spans="2:7" ht="20.100000000000001" customHeight="1" x14ac:dyDescent="0.25">
      <c r="B429" s="14" t="s">
        <v>490</v>
      </c>
      <c r="C429" s="15">
        <v>6</v>
      </c>
      <c r="D429" s="16">
        <v>445.95</v>
      </c>
      <c r="E429" s="17">
        <f t="shared" si="18"/>
        <v>74.325000000000003</v>
      </c>
      <c r="F429" s="18">
        <f t="shared" si="19"/>
        <v>6</v>
      </c>
      <c r="G429" s="18" t="str">
        <f t="shared" si="20"/>
        <v>Sem premiação</v>
      </c>
    </row>
    <row r="430" spans="2:7" ht="20.100000000000001" customHeight="1" x14ac:dyDescent="0.25">
      <c r="B430" s="14" t="s">
        <v>491</v>
      </c>
      <c r="C430" s="15">
        <v>6</v>
      </c>
      <c r="D430" s="16">
        <v>410.76</v>
      </c>
      <c r="E430" s="17">
        <f t="shared" si="18"/>
        <v>68.459999999999994</v>
      </c>
      <c r="F430" s="18">
        <f t="shared" si="19"/>
        <v>6</v>
      </c>
      <c r="G430" s="18" t="str">
        <f t="shared" si="20"/>
        <v>Sem premiação</v>
      </c>
    </row>
    <row r="431" spans="2:7" ht="20.100000000000001" customHeight="1" x14ac:dyDescent="0.25">
      <c r="B431" s="14" t="s">
        <v>492</v>
      </c>
      <c r="C431" s="15">
        <v>6</v>
      </c>
      <c r="D431" s="16">
        <v>628.08000000000004</v>
      </c>
      <c r="E431" s="17">
        <f t="shared" si="18"/>
        <v>104.68</v>
      </c>
      <c r="F431" s="18">
        <f t="shared" si="19"/>
        <v>12</v>
      </c>
      <c r="G431" s="18" t="str">
        <f t="shared" si="20"/>
        <v>Sem premiação</v>
      </c>
    </row>
    <row r="432" spans="2:7" ht="20.100000000000001" customHeight="1" x14ac:dyDescent="0.25">
      <c r="B432" s="14" t="s">
        <v>493</v>
      </c>
      <c r="C432" s="15">
        <v>6</v>
      </c>
      <c r="D432" s="16">
        <v>1241.31</v>
      </c>
      <c r="E432" s="17">
        <f t="shared" si="18"/>
        <v>206.88499999999999</v>
      </c>
      <c r="F432" s="18">
        <f t="shared" si="19"/>
        <v>24</v>
      </c>
      <c r="G432" s="18" t="str">
        <f t="shared" si="20"/>
        <v>Sem premiação</v>
      </c>
    </row>
    <row r="433" spans="2:7" ht="20.100000000000001" customHeight="1" x14ac:dyDescent="0.25">
      <c r="B433" s="14" t="s">
        <v>494</v>
      </c>
      <c r="C433" s="15">
        <v>6</v>
      </c>
      <c r="D433" s="16">
        <v>530.1</v>
      </c>
      <c r="E433" s="17">
        <f t="shared" si="18"/>
        <v>88.350000000000009</v>
      </c>
      <c r="F433" s="18">
        <f t="shared" si="19"/>
        <v>6</v>
      </c>
      <c r="G433" s="18" t="str">
        <f t="shared" si="20"/>
        <v>Sem premiação</v>
      </c>
    </row>
    <row r="434" spans="2:7" ht="20.100000000000001" customHeight="1" x14ac:dyDescent="0.25">
      <c r="B434" s="14" t="s">
        <v>495</v>
      </c>
      <c r="C434" s="15">
        <v>6</v>
      </c>
      <c r="D434" s="16">
        <v>984.73</v>
      </c>
      <c r="E434" s="17">
        <f t="shared" si="18"/>
        <v>164.12166666666667</v>
      </c>
      <c r="F434" s="18">
        <f t="shared" si="19"/>
        <v>18</v>
      </c>
      <c r="G434" s="18" t="str">
        <f t="shared" si="20"/>
        <v>Sem premiação</v>
      </c>
    </row>
    <row r="435" spans="2:7" ht="20.100000000000001" customHeight="1" x14ac:dyDescent="0.25">
      <c r="B435" s="14" t="s">
        <v>496</v>
      </c>
      <c r="C435" s="15">
        <v>6</v>
      </c>
      <c r="D435" s="16">
        <v>833.05</v>
      </c>
      <c r="E435" s="17">
        <f t="shared" si="18"/>
        <v>138.84166666666667</v>
      </c>
      <c r="F435" s="18">
        <f t="shared" si="19"/>
        <v>12</v>
      </c>
      <c r="G435" s="18" t="str">
        <f t="shared" si="20"/>
        <v>Sem premiação</v>
      </c>
    </row>
    <row r="436" spans="2:7" ht="20.100000000000001" customHeight="1" x14ac:dyDescent="0.25">
      <c r="B436" s="14" t="s">
        <v>497</v>
      </c>
      <c r="C436" s="15">
        <v>6</v>
      </c>
      <c r="D436" s="16">
        <v>1557.28</v>
      </c>
      <c r="E436" s="17">
        <f t="shared" si="18"/>
        <v>259.54666666666668</v>
      </c>
      <c r="F436" s="18">
        <f t="shared" si="19"/>
        <v>30</v>
      </c>
      <c r="G436" s="18" t="str">
        <f t="shared" si="20"/>
        <v>Sem premiação</v>
      </c>
    </row>
    <row r="437" spans="2:7" ht="20.100000000000001" customHeight="1" x14ac:dyDescent="0.25">
      <c r="B437" s="14" t="s">
        <v>498</v>
      </c>
      <c r="C437" s="15">
        <v>6</v>
      </c>
      <c r="D437" s="16">
        <v>470.6</v>
      </c>
      <c r="E437" s="17">
        <f t="shared" si="18"/>
        <v>78.433333333333337</v>
      </c>
      <c r="F437" s="18">
        <f t="shared" si="19"/>
        <v>6</v>
      </c>
      <c r="G437" s="18" t="str">
        <f t="shared" si="20"/>
        <v>Sem premiação</v>
      </c>
    </row>
    <row r="438" spans="2:7" ht="20.100000000000001" customHeight="1" x14ac:dyDescent="0.25">
      <c r="B438" s="14" t="s">
        <v>499</v>
      </c>
      <c r="C438" s="15">
        <v>6</v>
      </c>
      <c r="D438" s="16">
        <v>1500.45</v>
      </c>
      <c r="E438" s="17">
        <f t="shared" si="18"/>
        <v>250.07500000000002</v>
      </c>
      <c r="F438" s="18">
        <f t="shared" si="19"/>
        <v>30</v>
      </c>
      <c r="G438" s="18" t="str">
        <f t="shared" si="20"/>
        <v>Sem premiação</v>
      </c>
    </row>
    <row r="439" spans="2:7" ht="20.100000000000001" customHeight="1" x14ac:dyDescent="0.25">
      <c r="B439" s="14" t="s">
        <v>500</v>
      </c>
      <c r="C439" s="15">
        <v>6</v>
      </c>
      <c r="D439" s="16">
        <v>801.76</v>
      </c>
      <c r="E439" s="17">
        <f t="shared" si="18"/>
        <v>133.62666666666667</v>
      </c>
      <c r="F439" s="18">
        <f t="shared" si="19"/>
        <v>12</v>
      </c>
      <c r="G439" s="18" t="str">
        <f t="shared" si="20"/>
        <v>Sem premiação</v>
      </c>
    </row>
    <row r="440" spans="2:7" ht="20.100000000000001" customHeight="1" x14ac:dyDescent="0.25">
      <c r="B440" s="14" t="s">
        <v>501</v>
      </c>
      <c r="C440" s="15">
        <v>6</v>
      </c>
      <c r="D440" s="16">
        <v>572.97</v>
      </c>
      <c r="E440" s="17">
        <f t="shared" si="18"/>
        <v>95.495000000000005</v>
      </c>
      <c r="F440" s="18">
        <f t="shared" si="19"/>
        <v>6</v>
      </c>
      <c r="G440" s="18" t="str">
        <f t="shared" si="20"/>
        <v>Sem premiação</v>
      </c>
    </row>
    <row r="441" spans="2:7" ht="20.100000000000001" customHeight="1" x14ac:dyDescent="0.25">
      <c r="B441" s="14" t="s">
        <v>502</v>
      </c>
      <c r="C441" s="15">
        <v>6</v>
      </c>
      <c r="D441" s="16">
        <v>983.05</v>
      </c>
      <c r="E441" s="17">
        <f t="shared" si="18"/>
        <v>163.84166666666667</v>
      </c>
      <c r="F441" s="18">
        <f t="shared" si="19"/>
        <v>18</v>
      </c>
      <c r="G441" s="18" t="str">
        <f t="shared" si="20"/>
        <v>Sem premiação</v>
      </c>
    </row>
    <row r="442" spans="2:7" ht="20.100000000000001" customHeight="1" x14ac:dyDescent="0.25">
      <c r="B442" s="14" t="s">
        <v>503</v>
      </c>
      <c r="C442" s="15">
        <v>6</v>
      </c>
      <c r="D442" s="16">
        <v>740.09</v>
      </c>
      <c r="E442" s="17">
        <f t="shared" si="18"/>
        <v>123.34833333333334</v>
      </c>
      <c r="F442" s="18">
        <f t="shared" si="19"/>
        <v>12</v>
      </c>
      <c r="G442" s="18" t="str">
        <f t="shared" si="20"/>
        <v>Sem premiação</v>
      </c>
    </row>
    <row r="443" spans="2:7" ht="20.100000000000001" customHeight="1" x14ac:dyDescent="0.25">
      <c r="B443" s="14" t="s">
        <v>504</v>
      </c>
      <c r="C443" s="15">
        <v>6</v>
      </c>
      <c r="D443" s="16">
        <v>880.21</v>
      </c>
      <c r="E443" s="17">
        <f t="shared" si="18"/>
        <v>146.70166666666668</v>
      </c>
      <c r="F443" s="18">
        <f t="shared" si="19"/>
        <v>12</v>
      </c>
      <c r="G443" s="18" t="str">
        <f t="shared" si="20"/>
        <v>Sem premiação</v>
      </c>
    </row>
    <row r="444" spans="2:7" ht="20.100000000000001" customHeight="1" x14ac:dyDescent="0.25">
      <c r="B444" s="14" t="s">
        <v>505</v>
      </c>
      <c r="C444" s="15">
        <v>6</v>
      </c>
      <c r="D444" s="16">
        <v>1273.46</v>
      </c>
      <c r="E444" s="17">
        <f t="shared" si="18"/>
        <v>212.24333333333334</v>
      </c>
      <c r="F444" s="18">
        <f t="shared" si="19"/>
        <v>24</v>
      </c>
      <c r="G444" s="18" t="str">
        <f t="shared" si="20"/>
        <v>Sem premiação</v>
      </c>
    </row>
    <row r="445" spans="2:7" ht="20.100000000000001" customHeight="1" x14ac:dyDescent="0.25">
      <c r="B445" s="14" t="s">
        <v>506</v>
      </c>
      <c r="C445" s="15">
        <v>6</v>
      </c>
      <c r="D445" s="16">
        <v>942.9</v>
      </c>
      <c r="E445" s="17">
        <f t="shared" si="18"/>
        <v>157.15</v>
      </c>
      <c r="F445" s="18">
        <f t="shared" si="19"/>
        <v>18</v>
      </c>
      <c r="G445" s="18" t="str">
        <f t="shared" si="20"/>
        <v>Sem premiação</v>
      </c>
    </row>
    <row r="446" spans="2:7" ht="20.100000000000001" customHeight="1" x14ac:dyDescent="0.25">
      <c r="B446" s="14" t="s">
        <v>507</v>
      </c>
      <c r="C446" s="15">
        <v>6</v>
      </c>
      <c r="D446" s="16">
        <v>697.38</v>
      </c>
      <c r="E446" s="17">
        <f t="shared" si="18"/>
        <v>116.23</v>
      </c>
      <c r="F446" s="18">
        <f t="shared" si="19"/>
        <v>12</v>
      </c>
      <c r="G446" s="18" t="str">
        <f t="shared" si="20"/>
        <v>Sem premiação</v>
      </c>
    </row>
    <row r="447" spans="2:7" ht="20.100000000000001" customHeight="1" x14ac:dyDescent="0.25">
      <c r="B447" s="14" t="s">
        <v>508</v>
      </c>
      <c r="C447" s="15">
        <v>6</v>
      </c>
      <c r="D447" s="16">
        <v>1271.78</v>
      </c>
      <c r="E447" s="17">
        <f t="shared" si="18"/>
        <v>211.96333333333334</v>
      </c>
      <c r="F447" s="18">
        <f t="shared" si="19"/>
        <v>24</v>
      </c>
      <c r="G447" s="18" t="str">
        <f t="shared" si="20"/>
        <v>Sem premiação</v>
      </c>
    </row>
    <row r="448" spans="2:7" ht="20.100000000000001" customHeight="1" x14ac:dyDescent="0.25">
      <c r="B448" s="14" t="s">
        <v>509</v>
      </c>
      <c r="C448" s="15">
        <v>6</v>
      </c>
      <c r="D448" s="16">
        <v>771.37</v>
      </c>
      <c r="E448" s="17">
        <f t="shared" si="18"/>
        <v>128.56166666666667</v>
      </c>
      <c r="F448" s="18">
        <f t="shared" si="19"/>
        <v>12</v>
      </c>
      <c r="G448" s="18" t="str">
        <f t="shared" si="20"/>
        <v>Sem premiação</v>
      </c>
    </row>
    <row r="449" spans="2:7" ht="20.100000000000001" customHeight="1" x14ac:dyDescent="0.25">
      <c r="B449" s="14" t="s">
        <v>510</v>
      </c>
      <c r="C449" s="15">
        <v>6</v>
      </c>
      <c r="D449" s="16">
        <v>341.73</v>
      </c>
      <c r="E449" s="17">
        <f t="shared" si="18"/>
        <v>56.955000000000005</v>
      </c>
      <c r="F449" s="18">
        <f t="shared" si="19"/>
        <v>6</v>
      </c>
      <c r="G449" s="18" t="str">
        <f t="shared" si="20"/>
        <v>Sem premiação</v>
      </c>
    </row>
    <row r="450" spans="2:7" ht="20.100000000000001" customHeight="1" x14ac:dyDescent="0.25">
      <c r="B450" s="14" t="s">
        <v>511</v>
      </c>
      <c r="C450" s="15">
        <v>6</v>
      </c>
      <c r="D450" s="16">
        <v>591.62</v>
      </c>
      <c r="E450" s="17">
        <f t="shared" si="18"/>
        <v>98.603333333333339</v>
      </c>
      <c r="F450" s="18">
        <f t="shared" si="19"/>
        <v>6</v>
      </c>
      <c r="G450" s="18" t="str">
        <f t="shared" si="20"/>
        <v>Sem premiação</v>
      </c>
    </row>
    <row r="451" spans="2:7" ht="20.100000000000001" customHeight="1" x14ac:dyDescent="0.25">
      <c r="B451" s="14" t="s">
        <v>512</v>
      </c>
      <c r="C451" s="15">
        <v>6</v>
      </c>
      <c r="D451" s="16">
        <v>515.24</v>
      </c>
      <c r="E451" s="17">
        <f t="shared" si="18"/>
        <v>85.873333333333335</v>
      </c>
      <c r="F451" s="18">
        <f t="shared" si="19"/>
        <v>6</v>
      </c>
      <c r="G451" s="18" t="str">
        <f t="shared" si="20"/>
        <v>Sem premiação</v>
      </c>
    </row>
    <row r="452" spans="2:7" ht="20.100000000000001" customHeight="1" x14ac:dyDescent="0.25">
      <c r="B452" s="14" t="s">
        <v>513</v>
      </c>
      <c r="C452" s="15">
        <v>6</v>
      </c>
      <c r="D452" s="16">
        <v>1218.8699999999999</v>
      </c>
      <c r="E452" s="17">
        <f t="shared" ref="E452:E515" si="21">D452/C452</f>
        <v>203.14499999999998</v>
      </c>
      <c r="F452" s="18">
        <f t="shared" ref="F452:F515" si="22">IFERROR(C452*_xlfn.XLOOKUP(E452,$J$4:$J$13,$K$4:$K$13,0,-1),0)</f>
        <v>24</v>
      </c>
      <c r="G452" s="18" t="str">
        <f t="shared" ref="G452:G515" si="23">IFERROR(VLOOKUP(F452,$J$16:$K$19,2,TRUE),"SEM PREMIAÇÃO")</f>
        <v>Sem premiação</v>
      </c>
    </row>
    <row r="453" spans="2:7" ht="20.100000000000001" customHeight="1" x14ac:dyDescent="0.25">
      <c r="B453" s="14" t="s">
        <v>514</v>
      </c>
      <c r="C453" s="15">
        <v>6</v>
      </c>
      <c r="D453" s="16">
        <v>858.42</v>
      </c>
      <c r="E453" s="17">
        <f t="shared" si="21"/>
        <v>143.07</v>
      </c>
      <c r="F453" s="18">
        <f t="shared" si="22"/>
        <v>12</v>
      </c>
      <c r="G453" s="18" t="str">
        <f t="shared" si="23"/>
        <v>Sem premiação</v>
      </c>
    </row>
    <row r="454" spans="2:7" ht="20.100000000000001" customHeight="1" x14ac:dyDescent="0.25">
      <c r="B454" s="14" t="s">
        <v>515</v>
      </c>
      <c r="C454" s="15">
        <v>6</v>
      </c>
      <c r="D454" s="16">
        <v>816.65</v>
      </c>
      <c r="E454" s="17">
        <f t="shared" si="21"/>
        <v>136.10833333333332</v>
      </c>
      <c r="F454" s="18">
        <f t="shared" si="22"/>
        <v>12</v>
      </c>
      <c r="G454" s="18" t="str">
        <f t="shared" si="23"/>
        <v>Sem premiação</v>
      </c>
    </row>
    <row r="455" spans="2:7" ht="20.100000000000001" customHeight="1" x14ac:dyDescent="0.25">
      <c r="B455" s="14" t="s">
        <v>516</v>
      </c>
      <c r="C455" s="15">
        <v>5</v>
      </c>
      <c r="D455" s="16">
        <v>838.07</v>
      </c>
      <c r="E455" s="17">
        <f t="shared" si="21"/>
        <v>167.614</v>
      </c>
      <c r="F455" s="18">
        <f t="shared" si="22"/>
        <v>15</v>
      </c>
      <c r="G455" s="18" t="str">
        <f t="shared" si="23"/>
        <v>Sem premiação</v>
      </c>
    </row>
    <row r="456" spans="2:7" ht="20.100000000000001" customHeight="1" x14ac:dyDescent="0.25">
      <c r="B456" s="14" t="s">
        <v>517</v>
      </c>
      <c r="C456" s="15">
        <v>5</v>
      </c>
      <c r="D456" s="16">
        <v>751.76</v>
      </c>
      <c r="E456" s="17">
        <f t="shared" si="21"/>
        <v>150.352</v>
      </c>
      <c r="F456" s="18">
        <f t="shared" si="22"/>
        <v>15</v>
      </c>
      <c r="G456" s="18" t="str">
        <f t="shared" si="23"/>
        <v>Sem premiação</v>
      </c>
    </row>
    <row r="457" spans="2:7" ht="20.100000000000001" customHeight="1" x14ac:dyDescent="0.25">
      <c r="B457" s="14" t="s">
        <v>518</v>
      </c>
      <c r="C457" s="15">
        <v>5</v>
      </c>
      <c r="D457" s="16">
        <v>1124.4100000000001</v>
      </c>
      <c r="E457" s="17">
        <f t="shared" si="21"/>
        <v>224.88200000000001</v>
      </c>
      <c r="F457" s="18">
        <f t="shared" si="22"/>
        <v>20</v>
      </c>
      <c r="G457" s="18" t="str">
        <f t="shared" si="23"/>
        <v>Sem premiação</v>
      </c>
    </row>
    <row r="458" spans="2:7" ht="20.100000000000001" customHeight="1" x14ac:dyDescent="0.25">
      <c r="B458" s="14" t="s">
        <v>519</v>
      </c>
      <c r="C458" s="15">
        <v>5</v>
      </c>
      <c r="D458" s="16">
        <v>495.62</v>
      </c>
      <c r="E458" s="17">
        <f t="shared" si="21"/>
        <v>99.123999999999995</v>
      </c>
      <c r="F458" s="18">
        <f t="shared" si="22"/>
        <v>5</v>
      </c>
      <c r="G458" s="18" t="str">
        <f t="shared" si="23"/>
        <v>Sem premiação</v>
      </c>
    </row>
    <row r="459" spans="2:7" ht="20.100000000000001" customHeight="1" x14ac:dyDescent="0.25">
      <c r="B459" s="14" t="s">
        <v>520</v>
      </c>
      <c r="C459" s="15">
        <v>5</v>
      </c>
      <c r="D459" s="16">
        <v>867.98</v>
      </c>
      <c r="E459" s="17">
        <f t="shared" si="21"/>
        <v>173.596</v>
      </c>
      <c r="F459" s="18">
        <f t="shared" si="22"/>
        <v>15</v>
      </c>
      <c r="G459" s="18" t="str">
        <f t="shared" si="23"/>
        <v>Sem premiação</v>
      </c>
    </row>
    <row r="460" spans="2:7" ht="20.100000000000001" customHeight="1" x14ac:dyDescent="0.25">
      <c r="B460" s="14" t="s">
        <v>521</v>
      </c>
      <c r="C460" s="15">
        <v>5</v>
      </c>
      <c r="D460" s="16">
        <v>697.41</v>
      </c>
      <c r="E460" s="17">
        <f t="shared" si="21"/>
        <v>139.482</v>
      </c>
      <c r="F460" s="18">
        <f t="shared" si="22"/>
        <v>10</v>
      </c>
      <c r="G460" s="18" t="str">
        <f t="shared" si="23"/>
        <v>Sem premiação</v>
      </c>
    </row>
    <row r="461" spans="2:7" ht="20.100000000000001" customHeight="1" x14ac:dyDescent="0.25">
      <c r="B461" s="14" t="s">
        <v>522</v>
      </c>
      <c r="C461" s="15">
        <v>5</v>
      </c>
      <c r="D461" s="16">
        <v>807.2</v>
      </c>
      <c r="E461" s="17">
        <f t="shared" si="21"/>
        <v>161.44</v>
      </c>
      <c r="F461" s="18">
        <f t="shared" si="22"/>
        <v>15</v>
      </c>
      <c r="G461" s="18" t="str">
        <f t="shared" si="23"/>
        <v>Sem premiação</v>
      </c>
    </row>
    <row r="462" spans="2:7" ht="20.100000000000001" customHeight="1" x14ac:dyDescent="0.25">
      <c r="B462" s="14" t="s">
        <v>523</v>
      </c>
      <c r="C462" s="15">
        <v>5</v>
      </c>
      <c r="D462" s="16">
        <v>722.35</v>
      </c>
      <c r="E462" s="17">
        <f t="shared" si="21"/>
        <v>144.47</v>
      </c>
      <c r="F462" s="18">
        <f t="shared" si="22"/>
        <v>10</v>
      </c>
      <c r="G462" s="18" t="str">
        <f t="shared" si="23"/>
        <v>Sem premiação</v>
      </c>
    </row>
    <row r="463" spans="2:7" ht="20.100000000000001" customHeight="1" x14ac:dyDescent="0.25">
      <c r="B463" s="14" t="s">
        <v>524</v>
      </c>
      <c r="C463" s="15">
        <v>5</v>
      </c>
      <c r="D463" s="16">
        <v>831.38</v>
      </c>
      <c r="E463" s="17">
        <f t="shared" si="21"/>
        <v>166.27600000000001</v>
      </c>
      <c r="F463" s="18">
        <f t="shared" si="22"/>
        <v>15</v>
      </c>
      <c r="G463" s="18" t="str">
        <f t="shared" si="23"/>
        <v>Sem premiação</v>
      </c>
    </row>
    <row r="464" spans="2:7" ht="20.100000000000001" customHeight="1" x14ac:dyDescent="0.25">
      <c r="B464" s="14" t="s">
        <v>525</v>
      </c>
      <c r="C464" s="15">
        <v>5</v>
      </c>
      <c r="D464" s="16">
        <v>881.35</v>
      </c>
      <c r="E464" s="17">
        <f t="shared" si="21"/>
        <v>176.27</v>
      </c>
      <c r="F464" s="18">
        <f t="shared" si="22"/>
        <v>15</v>
      </c>
      <c r="G464" s="18" t="str">
        <f t="shared" si="23"/>
        <v>Sem premiação</v>
      </c>
    </row>
    <row r="465" spans="2:7" ht="20.100000000000001" customHeight="1" x14ac:dyDescent="0.25">
      <c r="B465" s="14" t="s">
        <v>526</v>
      </c>
      <c r="C465" s="15">
        <v>5</v>
      </c>
      <c r="D465" s="16">
        <v>1540.53</v>
      </c>
      <c r="E465" s="17">
        <f t="shared" si="21"/>
        <v>308.10599999999999</v>
      </c>
      <c r="F465" s="18">
        <f t="shared" si="22"/>
        <v>30</v>
      </c>
      <c r="G465" s="18" t="str">
        <f t="shared" si="23"/>
        <v>Sem premiação</v>
      </c>
    </row>
    <row r="466" spans="2:7" ht="20.100000000000001" customHeight="1" x14ac:dyDescent="0.25">
      <c r="B466" s="14" t="s">
        <v>527</v>
      </c>
      <c r="C466" s="15">
        <v>5</v>
      </c>
      <c r="D466" s="16">
        <v>1036.73</v>
      </c>
      <c r="E466" s="17">
        <f t="shared" si="21"/>
        <v>207.346</v>
      </c>
      <c r="F466" s="18">
        <f t="shared" si="22"/>
        <v>20</v>
      </c>
      <c r="G466" s="18" t="str">
        <f t="shared" si="23"/>
        <v>Sem premiação</v>
      </c>
    </row>
    <row r="467" spans="2:7" ht="20.100000000000001" customHeight="1" x14ac:dyDescent="0.25">
      <c r="B467" s="14" t="s">
        <v>528</v>
      </c>
      <c r="C467" s="15">
        <v>5</v>
      </c>
      <c r="D467" s="16">
        <v>959.58</v>
      </c>
      <c r="E467" s="17">
        <f t="shared" si="21"/>
        <v>191.916</v>
      </c>
      <c r="F467" s="18">
        <f t="shared" si="22"/>
        <v>15</v>
      </c>
      <c r="G467" s="18" t="str">
        <f t="shared" si="23"/>
        <v>Sem premiação</v>
      </c>
    </row>
    <row r="468" spans="2:7" ht="20.100000000000001" customHeight="1" x14ac:dyDescent="0.25">
      <c r="B468" s="14" t="s">
        <v>529</v>
      </c>
      <c r="C468" s="15">
        <v>5</v>
      </c>
      <c r="D468" s="16">
        <v>454.35</v>
      </c>
      <c r="E468" s="17">
        <f t="shared" si="21"/>
        <v>90.87</v>
      </c>
      <c r="F468" s="18">
        <f t="shared" si="22"/>
        <v>5</v>
      </c>
      <c r="G468" s="18" t="str">
        <f t="shared" si="23"/>
        <v>Sem premiação</v>
      </c>
    </row>
    <row r="469" spans="2:7" ht="20.100000000000001" customHeight="1" x14ac:dyDescent="0.25">
      <c r="B469" s="14" t="s">
        <v>530</v>
      </c>
      <c r="C469" s="15">
        <v>5</v>
      </c>
      <c r="D469" s="16">
        <v>326.25</v>
      </c>
      <c r="E469" s="17">
        <f t="shared" si="21"/>
        <v>65.25</v>
      </c>
      <c r="F469" s="18">
        <f t="shared" si="22"/>
        <v>5</v>
      </c>
      <c r="G469" s="18" t="str">
        <f t="shared" si="23"/>
        <v>Sem premiação</v>
      </c>
    </row>
    <row r="470" spans="2:7" ht="20.100000000000001" customHeight="1" x14ac:dyDescent="0.25">
      <c r="B470" s="14" t="s">
        <v>531</v>
      </c>
      <c r="C470" s="15">
        <v>5</v>
      </c>
      <c r="D470" s="16">
        <v>622.20000000000005</v>
      </c>
      <c r="E470" s="17">
        <f t="shared" si="21"/>
        <v>124.44000000000001</v>
      </c>
      <c r="F470" s="18">
        <f t="shared" si="22"/>
        <v>10</v>
      </c>
      <c r="G470" s="18" t="str">
        <f t="shared" si="23"/>
        <v>Sem premiação</v>
      </c>
    </row>
    <row r="471" spans="2:7" ht="20.100000000000001" customHeight="1" x14ac:dyDescent="0.25">
      <c r="B471" s="14" t="s">
        <v>532</v>
      </c>
      <c r="C471" s="15">
        <v>5</v>
      </c>
      <c r="D471" s="16">
        <v>488.61</v>
      </c>
      <c r="E471" s="17">
        <f t="shared" si="21"/>
        <v>97.722000000000008</v>
      </c>
      <c r="F471" s="18">
        <f t="shared" si="22"/>
        <v>5</v>
      </c>
      <c r="G471" s="18" t="str">
        <f t="shared" si="23"/>
        <v>Sem premiação</v>
      </c>
    </row>
    <row r="472" spans="2:7" ht="20.100000000000001" customHeight="1" x14ac:dyDescent="0.25">
      <c r="B472" s="14" t="s">
        <v>533</v>
      </c>
      <c r="C472" s="15">
        <v>5</v>
      </c>
      <c r="D472" s="16">
        <v>1441.8</v>
      </c>
      <c r="E472" s="17">
        <f t="shared" si="21"/>
        <v>288.36</v>
      </c>
      <c r="F472" s="18">
        <f t="shared" si="22"/>
        <v>25</v>
      </c>
      <c r="G472" s="18" t="str">
        <f t="shared" si="23"/>
        <v>Sem premiação</v>
      </c>
    </row>
    <row r="473" spans="2:7" ht="20.100000000000001" customHeight="1" x14ac:dyDescent="0.25">
      <c r="B473" s="14" t="s">
        <v>534</v>
      </c>
      <c r="C473" s="15">
        <v>5</v>
      </c>
      <c r="D473" s="16">
        <v>2469.35</v>
      </c>
      <c r="E473" s="17">
        <f t="shared" si="21"/>
        <v>493.87</v>
      </c>
      <c r="F473" s="18">
        <f t="shared" si="22"/>
        <v>45</v>
      </c>
      <c r="G473" s="18" t="str">
        <f t="shared" si="23"/>
        <v>Sem premiação</v>
      </c>
    </row>
    <row r="474" spans="2:7" ht="20.100000000000001" customHeight="1" x14ac:dyDescent="0.25">
      <c r="B474" s="14" t="s">
        <v>535</v>
      </c>
      <c r="C474" s="15">
        <v>5</v>
      </c>
      <c r="D474" s="16">
        <v>1032.3</v>
      </c>
      <c r="E474" s="17">
        <f t="shared" si="21"/>
        <v>206.45999999999998</v>
      </c>
      <c r="F474" s="18">
        <f t="shared" si="22"/>
        <v>20</v>
      </c>
      <c r="G474" s="18" t="str">
        <f t="shared" si="23"/>
        <v>Sem premiação</v>
      </c>
    </row>
    <row r="475" spans="2:7" ht="20.100000000000001" customHeight="1" x14ac:dyDescent="0.25">
      <c r="B475" s="14" t="s">
        <v>536</v>
      </c>
      <c r="C475" s="15">
        <v>5</v>
      </c>
      <c r="D475" s="16">
        <v>762.18</v>
      </c>
      <c r="E475" s="17">
        <f t="shared" si="21"/>
        <v>152.43599999999998</v>
      </c>
      <c r="F475" s="18">
        <f t="shared" si="22"/>
        <v>15</v>
      </c>
      <c r="G475" s="18" t="str">
        <f t="shared" si="23"/>
        <v>Sem premiação</v>
      </c>
    </row>
    <row r="476" spans="2:7" ht="20.100000000000001" customHeight="1" x14ac:dyDescent="0.25">
      <c r="B476" s="14" t="s">
        <v>537</v>
      </c>
      <c r="C476" s="15">
        <v>5</v>
      </c>
      <c r="D476" s="16">
        <v>711.65</v>
      </c>
      <c r="E476" s="17">
        <f t="shared" si="21"/>
        <v>142.32999999999998</v>
      </c>
      <c r="F476" s="18">
        <f t="shared" si="22"/>
        <v>10</v>
      </c>
      <c r="G476" s="18" t="str">
        <f t="shared" si="23"/>
        <v>Sem premiação</v>
      </c>
    </row>
    <row r="477" spans="2:7" ht="20.100000000000001" customHeight="1" x14ac:dyDescent="0.25">
      <c r="B477" s="14" t="s">
        <v>538</v>
      </c>
      <c r="C477" s="15">
        <v>5</v>
      </c>
      <c r="D477" s="16">
        <v>480.42</v>
      </c>
      <c r="E477" s="17">
        <f t="shared" si="21"/>
        <v>96.084000000000003</v>
      </c>
      <c r="F477" s="18">
        <f t="shared" si="22"/>
        <v>5</v>
      </c>
      <c r="G477" s="18" t="str">
        <f t="shared" si="23"/>
        <v>Sem premiação</v>
      </c>
    </row>
    <row r="478" spans="2:7" ht="20.100000000000001" customHeight="1" x14ac:dyDescent="0.25">
      <c r="B478" s="14" t="s">
        <v>539</v>
      </c>
      <c r="C478" s="15">
        <v>5</v>
      </c>
      <c r="D478" s="16">
        <v>569.78</v>
      </c>
      <c r="E478" s="17">
        <f t="shared" si="21"/>
        <v>113.95599999999999</v>
      </c>
      <c r="F478" s="18">
        <f t="shared" si="22"/>
        <v>10</v>
      </c>
      <c r="G478" s="18" t="str">
        <f t="shared" si="23"/>
        <v>Sem premiação</v>
      </c>
    </row>
    <row r="479" spans="2:7" ht="20.100000000000001" customHeight="1" x14ac:dyDescent="0.25">
      <c r="B479" s="14" t="s">
        <v>540</v>
      </c>
      <c r="C479" s="15">
        <v>5</v>
      </c>
      <c r="D479" s="16">
        <v>461.01</v>
      </c>
      <c r="E479" s="17">
        <f t="shared" si="21"/>
        <v>92.201999999999998</v>
      </c>
      <c r="F479" s="18">
        <f t="shared" si="22"/>
        <v>5</v>
      </c>
      <c r="G479" s="18" t="str">
        <f t="shared" si="23"/>
        <v>Sem premiação</v>
      </c>
    </row>
    <row r="480" spans="2:7" ht="20.100000000000001" customHeight="1" x14ac:dyDescent="0.25">
      <c r="B480" s="14" t="s">
        <v>541</v>
      </c>
      <c r="C480" s="15">
        <v>5</v>
      </c>
      <c r="D480" s="16">
        <v>328.13</v>
      </c>
      <c r="E480" s="17">
        <f t="shared" si="21"/>
        <v>65.626000000000005</v>
      </c>
      <c r="F480" s="18">
        <f t="shared" si="22"/>
        <v>5</v>
      </c>
      <c r="G480" s="18" t="str">
        <f t="shared" si="23"/>
        <v>Sem premiação</v>
      </c>
    </row>
    <row r="481" spans="2:7" ht="20.100000000000001" customHeight="1" x14ac:dyDescent="0.25">
      <c r="B481" s="14" t="s">
        <v>542</v>
      </c>
      <c r="C481" s="15">
        <v>5</v>
      </c>
      <c r="D481" s="16">
        <v>410.64</v>
      </c>
      <c r="E481" s="17">
        <f t="shared" si="21"/>
        <v>82.128</v>
      </c>
      <c r="F481" s="18">
        <f t="shared" si="22"/>
        <v>5</v>
      </c>
      <c r="G481" s="18" t="str">
        <f t="shared" si="23"/>
        <v>Sem premiação</v>
      </c>
    </row>
    <row r="482" spans="2:7" ht="20.100000000000001" customHeight="1" x14ac:dyDescent="0.25">
      <c r="B482" s="14" t="s">
        <v>543</v>
      </c>
      <c r="C482" s="15">
        <v>5</v>
      </c>
      <c r="D482" s="16">
        <v>596.01</v>
      </c>
      <c r="E482" s="17">
        <f t="shared" si="21"/>
        <v>119.202</v>
      </c>
      <c r="F482" s="18">
        <f t="shared" si="22"/>
        <v>10</v>
      </c>
      <c r="G482" s="18" t="str">
        <f t="shared" si="23"/>
        <v>Sem premiação</v>
      </c>
    </row>
    <row r="483" spans="2:7" ht="20.100000000000001" customHeight="1" x14ac:dyDescent="0.25">
      <c r="B483" s="14" t="s">
        <v>544</v>
      </c>
      <c r="C483" s="15">
        <v>5</v>
      </c>
      <c r="D483" s="16">
        <v>466.22</v>
      </c>
      <c r="E483" s="17">
        <f t="shared" si="21"/>
        <v>93.244</v>
      </c>
      <c r="F483" s="18">
        <f t="shared" si="22"/>
        <v>5</v>
      </c>
      <c r="G483" s="18" t="str">
        <f t="shared" si="23"/>
        <v>Sem premiação</v>
      </c>
    </row>
    <row r="484" spans="2:7" ht="20.100000000000001" customHeight="1" x14ac:dyDescent="0.25">
      <c r="B484" s="14" t="s">
        <v>545</v>
      </c>
      <c r="C484" s="15">
        <v>5</v>
      </c>
      <c r="D484" s="16">
        <v>385.31</v>
      </c>
      <c r="E484" s="17">
        <f t="shared" si="21"/>
        <v>77.061999999999998</v>
      </c>
      <c r="F484" s="18">
        <f t="shared" si="22"/>
        <v>5</v>
      </c>
      <c r="G484" s="18" t="str">
        <f t="shared" si="23"/>
        <v>Sem premiação</v>
      </c>
    </row>
    <row r="485" spans="2:7" ht="20.100000000000001" customHeight="1" x14ac:dyDescent="0.25">
      <c r="B485" s="14" t="s">
        <v>546</v>
      </c>
      <c r="C485" s="15">
        <v>5</v>
      </c>
      <c r="D485" s="16">
        <v>348.84</v>
      </c>
      <c r="E485" s="17">
        <f t="shared" si="21"/>
        <v>69.768000000000001</v>
      </c>
      <c r="F485" s="18">
        <f t="shared" si="22"/>
        <v>5</v>
      </c>
      <c r="G485" s="18" t="str">
        <f t="shared" si="23"/>
        <v>Sem premiação</v>
      </c>
    </row>
    <row r="486" spans="2:7" ht="20.100000000000001" customHeight="1" x14ac:dyDescent="0.25">
      <c r="B486" s="14" t="s">
        <v>547</v>
      </c>
      <c r="C486" s="15">
        <v>5</v>
      </c>
      <c r="D486" s="16">
        <v>1066.0999999999999</v>
      </c>
      <c r="E486" s="17">
        <f t="shared" si="21"/>
        <v>213.21999999999997</v>
      </c>
      <c r="F486" s="18">
        <f t="shared" si="22"/>
        <v>20</v>
      </c>
      <c r="G486" s="18" t="str">
        <f t="shared" si="23"/>
        <v>Sem premiação</v>
      </c>
    </row>
    <row r="487" spans="2:7" ht="20.100000000000001" customHeight="1" x14ac:dyDescent="0.25">
      <c r="B487" s="14" t="s">
        <v>548</v>
      </c>
      <c r="C487" s="15">
        <v>5</v>
      </c>
      <c r="D487" s="16">
        <v>911.25</v>
      </c>
      <c r="E487" s="17">
        <f t="shared" si="21"/>
        <v>182.25</v>
      </c>
      <c r="F487" s="18">
        <f t="shared" si="22"/>
        <v>15</v>
      </c>
      <c r="G487" s="18" t="str">
        <f t="shared" si="23"/>
        <v>Sem premiação</v>
      </c>
    </row>
    <row r="488" spans="2:7" ht="20.100000000000001" customHeight="1" x14ac:dyDescent="0.25">
      <c r="B488" s="14" t="s">
        <v>549</v>
      </c>
      <c r="C488" s="15">
        <v>5</v>
      </c>
      <c r="D488" s="16">
        <v>519.1</v>
      </c>
      <c r="E488" s="17">
        <f t="shared" si="21"/>
        <v>103.82000000000001</v>
      </c>
      <c r="F488" s="18">
        <f t="shared" si="22"/>
        <v>10</v>
      </c>
      <c r="G488" s="18" t="str">
        <f t="shared" si="23"/>
        <v>Sem premiação</v>
      </c>
    </row>
    <row r="489" spans="2:7" ht="20.100000000000001" customHeight="1" x14ac:dyDescent="0.25">
      <c r="B489" s="14" t="s">
        <v>550</v>
      </c>
      <c r="C489" s="15">
        <v>5</v>
      </c>
      <c r="D489" s="16">
        <v>379.43</v>
      </c>
      <c r="E489" s="17">
        <f t="shared" si="21"/>
        <v>75.885999999999996</v>
      </c>
      <c r="F489" s="18">
        <f t="shared" si="22"/>
        <v>5</v>
      </c>
      <c r="G489" s="18" t="str">
        <f t="shared" si="23"/>
        <v>Sem premiação</v>
      </c>
    </row>
    <row r="490" spans="2:7" ht="20.100000000000001" customHeight="1" x14ac:dyDescent="0.25">
      <c r="B490" s="14" t="s">
        <v>551</v>
      </c>
      <c r="C490" s="15">
        <v>5</v>
      </c>
      <c r="D490" s="16">
        <v>641.58000000000004</v>
      </c>
      <c r="E490" s="17">
        <f t="shared" si="21"/>
        <v>128.316</v>
      </c>
      <c r="F490" s="18">
        <f t="shared" si="22"/>
        <v>10</v>
      </c>
      <c r="G490" s="18" t="str">
        <f t="shared" si="23"/>
        <v>Sem premiação</v>
      </c>
    </row>
    <row r="491" spans="2:7" ht="20.100000000000001" customHeight="1" x14ac:dyDescent="0.25">
      <c r="B491" s="14" t="s">
        <v>552</v>
      </c>
      <c r="C491" s="15">
        <v>5</v>
      </c>
      <c r="D491" s="16">
        <v>3344.75</v>
      </c>
      <c r="E491" s="17">
        <f t="shared" si="21"/>
        <v>668.95</v>
      </c>
      <c r="F491" s="18">
        <f t="shared" si="22"/>
        <v>50</v>
      </c>
      <c r="G491" s="18" t="str">
        <f t="shared" si="23"/>
        <v>Sem premiação</v>
      </c>
    </row>
    <row r="492" spans="2:7" ht="20.100000000000001" customHeight="1" x14ac:dyDescent="0.25">
      <c r="B492" s="14" t="s">
        <v>553</v>
      </c>
      <c r="C492" s="15">
        <v>5</v>
      </c>
      <c r="D492" s="16">
        <v>1141.48</v>
      </c>
      <c r="E492" s="17">
        <f t="shared" si="21"/>
        <v>228.29599999999999</v>
      </c>
      <c r="F492" s="18">
        <f t="shared" si="22"/>
        <v>20</v>
      </c>
      <c r="G492" s="18" t="str">
        <f t="shared" si="23"/>
        <v>Sem premiação</v>
      </c>
    </row>
    <row r="493" spans="2:7" ht="20.100000000000001" customHeight="1" x14ac:dyDescent="0.25">
      <c r="B493" s="14" t="s">
        <v>554</v>
      </c>
      <c r="C493" s="15">
        <v>4</v>
      </c>
      <c r="D493" s="16">
        <v>417.69</v>
      </c>
      <c r="E493" s="17">
        <f t="shared" si="21"/>
        <v>104.4225</v>
      </c>
      <c r="F493" s="18">
        <f t="shared" si="22"/>
        <v>8</v>
      </c>
      <c r="G493" s="18" t="str">
        <f t="shared" si="23"/>
        <v>Sem premiação</v>
      </c>
    </row>
    <row r="494" spans="2:7" ht="20.100000000000001" customHeight="1" x14ac:dyDescent="0.25">
      <c r="B494" s="14" t="s">
        <v>555</v>
      </c>
      <c r="C494" s="15">
        <v>4</v>
      </c>
      <c r="D494" s="16">
        <v>402.83</v>
      </c>
      <c r="E494" s="17">
        <f t="shared" si="21"/>
        <v>100.7075</v>
      </c>
      <c r="F494" s="18">
        <f t="shared" si="22"/>
        <v>8</v>
      </c>
      <c r="G494" s="18" t="str">
        <f t="shared" si="23"/>
        <v>Sem premiação</v>
      </c>
    </row>
    <row r="495" spans="2:7" ht="20.100000000000001" customHeight="1" x14ac:dyDescent="0.25">
      <c r="B495" s="14" t="s">
        <v>556</v>
      </c>
      <c r="C495" s="15">
        <v>4</v>
      </c>
      <c r="D495" s="16">
        <v>333.54</v>
      </c>
      <c r="E495" s="17">
        <f t="shared" si="21"/>
        <v>83.385000000000005</v>
      </c>
      <c r="F495" s="18">
        <f t="shared" si="22"/>
        <v>4</v>
      </c>
      <c r="G495" s="18" t="str">
        <f t="shared" si="23"/>
        <v>Sem premiação</v>
      </c>
    </row>
    <row r="496" spans="2:7" ht="20.100000000000001" customHeight="1" x14ac:dyDescent="0.25">
      <c r="B496" s="14" t="s">
        <v>557</v>
      </c>
      <c r="C496" s="15">
        <v>4</v>
      </c>
      <c r="D496" s="16">
        <v>739.54</v>
      </c>
      <c r="E496" s="17">
        <f t="shared" si="21"/>
        <v>184.88499999999999</v>
      </c>
      <c r="F496" s="18">
        <f t="shared" si="22"/>
        <v>12</v>
      </c>
      <c r="G496" s="18" t="str">
        <f t="shared" si="23"/>
        <v>Sem premiação</v>
      </c>
    </row>
    <row r="497" spans="2:7" ht="20.100000000000001" customHeight="1" x14ac:dyDescent="0.25">
      <c r="B497" s="14" t="s">
        <v>558</v>
      </c>
      <c r="C497" s="15">
        <v>4</v>
      </c>
      <c r="D497" s="16">
        <v>340.03</v>
      </c>
      <c r="E497" s="17">
        <f t="shared" si="21"/>
        <v>85.007499999999993</v>
      </c>
      <c r="F497" s="18">
        <f t="shared" si="22"/>
        <v>4</v>
      </c>
      <c r="G497" s="18" t="str">
        <f t="shared" si="23"/>
        <v>Sem premiação</v>
      </c>
    </row>
    <row r="498" spans="2:7" ht="20.100000000000001" customHeight="1" x14ac:dyDescent="0.25">
      <c r="B498" s="14" t="s">
        <v>559</v>
      </c>
      <c r="C498" s="15">
        <v>4</v>
      </c>
      <c r="D498" s="16">
        <v>1478.42</v>
      </c>
      <c r="E498" s="17">
        <f t="shared" si="21"/>
        <v>369.60500000000002</v>
      </c>
      <c r="F498" s="18">
        <f t="shared" si="22"/>
        <v>28</v>
      </c>
      <c r="G498" s="18" t="str">
        <f t="shared" si="23"/>
        <v>Sem premiação</v>
      </c>
    </row>
    <row r="499" spans="2:7" ht="20.100000000000001" customHeight="1" x14ac:dyDescent="0.25">
      <c r="B499" s="14" t="s">
        <v>560</v>
      </c>
      <c r="C499" s="15">
        <v>4</v>
      </c>
      <c r="D499" s="16">
        <v>396.94</v>
      </c>
      <c r="E499" s="17">
        <f t="shared" si="21"/>
        <v>99.234999999999999</v>
      </c>
      <c r="F499" s="18">
        <f t="shared" si="22"/>
        <v>4</v>
      </c>
      <c r="G499" s="18" t="str">
        <f t="shared" si="23"/>
        <v>Sem premiação</v>
      </c>
    </row>
    <row r="500" spans="2:7" ht="20.100000000000001" customHeight="1" x14ac:dyDescent="0.25">
      <c r="B500" s="14" t="s">
        <v>561</v>
      </c>
      <c r="C500" s="15">
        <v>4</v>
      </c>
      <c r="D500" s="16">
        <v>300.73</v>
      </c>
      <c r="E500" s="17">
        <f t="shared" si="21"/>
        <v>75.182500000000005</v>
      </c>
      <c r="F500" s="18">
        <f t="shared" si="22"/>
        <v>4</v>
      </c>
      <c r="G500" s="18" t="str">
        <f t="shared" si="23"/>
        <v>Sem premiação</v>
      </c>
    </row>
    <row r="501" spans="2:7" ht="20.100000000000001" customHeight="1" x14ac:dyDescent="0.25">
      <c r="B501" s="14" t="s">
        <v>562</v>
      </c>
      <c r="C501" s="15">
        <v>4</v>
      </c>
      <c r="D501" s="16">
        <v>386.19</v>
      </c>
      <c r="E501" s="17">
        <f t="shared" si="21"/>
        <v>96.547499999999999</v>
      </c>
      <c r="F501" s="18">
        <f t="shared" si="22"/>
        <v>4</v>
      </c>
      <c r="G501" s="18" t="str">
        <f t="shared" si="23"/>
        <v>Sem premiação</v>
      </c>
    </row>
    <row r="502" spans="2:7" ht="20.100000000000001" customHeight="1" x14ac:dyDescent="0.25">
      <c r="B502" s="14" t="s">
        <v>563</v>
      </c>
      <c r="C502" s="15">
        <v>4</v>
      </c>
      <c r="D502" s="16">
        <v>327.29000000000002</v>
      </c>
      <c r="E502" s="17">
        <f t="shared" si="21"/>
        <v>81.822500000000005</v>
      </c>
      <c r="F502" s="18">
        <f t="shared" si="22"/>
        <v>4</v>
      </c>
      <c r="G502" s="18" t="str">
        <f t="shared" si="23"/>
        <v>Sem premiação</v>
      </c>
    </row>
    <row r="503" spans="2:7" ht="20.100000000000001" customHeight="1" x14ac:dyDescent="0.25">
      <c r="B503" s="14" t="s">
        <v>564</v>
      </c>
      <c r="C503" s="15">
        <v>4</v>
      </c>
      <c r="D503" s="16">
        <v>845.3</v>
      </c>
      <c r="E503" s="17">
        <f t="shared" si="21"/>
        <v>211.32499999999999</v>
      </c>
      <c r="F503" s="18">
        <f t="shared" si="22"/>
        <v>16</v>
      </c>
      <c r="G503" s="18" t="str">
        <f t="shared" si="23"/>
        <v>Sem premiação</v>
      </c>
    </row>
    <row r="504" spans="2:7" ht="20.100000000000001" customHeight="1" x14ac:dyDescent="0.25">
      <c r="B504" s="14" t="s">
        <v>565</v>
      </c>
      <c r="C504" s="15">
        <v>4</v>
      </c>
      <c r="D504" s="16">
        <v>287.83</v>
      </c>
      <c r="E504" s="17">
        <f t="shared" si="21"/>
        <v>71.957499999999996</v>
      </c>
      <c r="F504" s="18">
        <f t="shared" si="22"/>
        <v>4</v>
      </c>
      <c r="G504" s="18" t="str">
        <f t="shared" si="23"/>
        <v>Sem premiação</v>
      </c>
    </row>
    <row r="505" spans="2:7" ht="20.100000000000001" customHeight="1" x14ac:dyDescent="0.25">
      <c r="B505" s="14" t="s">
        <v>566</v>
      </c>
      <c r="C505" s="15">
        <v>4</v>
      </c>
      <c r="D505" s="16">
        <v>363.7</v>
      </c>
      <c r="E505" s="17">
        <f t="shared" si="21"/>
        <v>90.924999999999997</v>
      </c>
      <c r="F505" s="18">
        <f t="shared" si="22"/>
        <v>4</v>
      </c>
      <c r="G505" s="18" t="str">
        <f t="shared" si="23"/>
        <v>Sem premiação</v>
      </c>
    </row>
    <row r="506" spans="2:7" ht="20.100000000000001" customHeight="1" x14ac:dyDescent="0.25">
      <c r="B506" s="14" t="s">
        <v>567</v>
      </c>
      <c r="C506" s="15">
        <v>4</v>
      </c>
      <c r="D506" s="16">
        <v>388.95</v>
      </c>
      <c r="E506" s="17">
        <f t="shared" si="21"/>
        <v>97.237499999999997</v>
      </c>
      <c r="F506" s="18">
        <f t="shared" si="22"/>
        <v>4</v>
      </c>
      <c r="G506" s="18" t="str">
        <f t="shared" si="23"/>
        <v>Sem premiação</v>
      </c>
    </row>
    <row r="507" spans="2:7" ht="20.100000000000001" customHeight="1" x14ac:dyDescent="0.25">
      <c r="B507" s="14" t="s">
        <v>568</v>
      </c>
      <c r="C507" s="15">
        <v>4</v>
      </c>
      <c r="D507" s="16">
        <v>546.38</v>
      </c>
      <c r="E507" s="17">
        <f t="shared" si="21"/>
        <v>136.595</v>
      </c>
      <c r="F507" s="18">
        <f t="shared" si="22"/>
        <v>8</v>
      </c>
      <c r="G507" s="18" t="str">
        <f t="shared" si="23"/>
        <v>Sem premiação</v>
      </c>
    </row>
    <row r="508" spans="2:7" ht="20.100000000000001" customHeight="1" x14ac:dyDescent="0.25">
      <c r="B508" s="14" t="s">
        <v>569</v>
      </c>
      <c r="C508" s="15">
        <v>4</v>
      </c>
      <c r="D508" s="16">
        <v>499.07</v>
      </c>
      <c r="E508" s="17">
        <f t="shared" si="21"/>
        <v>124.7675</v>
      </c>
      <c r="F508" s="18">
        <f t="shared" si="22"/>
        <v>8</v>
      </c>
      <c r="G508" s="18" t="str">
        <f t="shared" si="23"/>
        <v>Sem premiação</v>
      </c>
    </row>
    <row r="509" spans="2:7" ht="20.100000000000001" customHeight="1" x14ac:dyDescent="0.25">
      <c r="B509" s="14" t="s">
        <v>570</v>
      </c>
      <c r="C509" s="15">
        <v>4</v>
      </c>
      <c r="D509" s="16">
        <v>471.03</v>
      </c>
      <c r="E509" s="17">
        <f t="shared" si="21"/>
        <v>117.75749999999999</v>
      </c>
      <c r="F509" s="18">
        <f t="shared" si="22"/>
        <v>8</v>
      </c>
      <c r="G509" s="18" t="str">
        <f t="shared" si="23"/>
        <v>Sem premiação</v>
      </c>
    </row>
    <row r="510" spans="2:7" ht="20.100000000000001" customHeight="1" x14ac:dyDescent="0.25">
      <c r="B510" s="14" t="s">
        <v>571</v>
      </c>
      <c r="C510" s="15">
        <v>4</v>
      </c>
      <c r="D510" s="16">
        <v>654.29999999999995</v>
      </c>
      <c r="E510" s="17">
        <f t="shared" si="21"/>
        <v>163.57499999999999</v>
      </c>
      <c r="F510" s="18">
        <f t="shared" si="22"/>
        <v>12</v>
      </c>
      <c r="G510" s="18" t="str">
        <f t="shared" si="23"/>
        <v>Sem premiação</v>
      </c>
    </row>
    <row r="511" spans="2:7" ht="20.100000000000001" customHeight="1" x14ac:dyDescent="0.25">
      <c r="B511" s="14" t="s">
        <v>572</v>
      </c>
      <c r="C511" s="15">
        <v>4</v>
      </c>
      <c r="D511" s="16">
        <v>397.63</v>
      </c>
      <c r="E511" s="17">
        <f t="shared" si="21"/>
        <v>99.407499999999999</v>
      </c>
      <c r="F511" s="18">
        <f t="shared" si="22"/>
        <v>4</v>
      </c>
      <c r="G511" s="18" t="str">
        <f t="shared" si="23"/>
        <v>Sem premiação</v>
      </c>
    </row>
    <row r="512" spans="2:7" ht="20.100000000000001" customHeight="1" x14ac:dyDescent="0.25">
      <c r="B512" s="14" t="s">
        <v>573</v>
      </c>
      <c r="C512" s="15">
        <v>4</v>
      </c>
      <c r="D512" s="16">
        <v>354.24</v>
      </c>
      <c r="E512" s="17">
        <f t="shared" si="21"/>
        <v>88.56</v>
      </c>
      <c r="F512" s="18">
        <f t="shared" si="22"/>
        <v>4</v>
      </c>
      <c r="G512" s="18" t="str">
        <f t="shared" si="23"/>
        <v>Sem premiação</v>
      </c>
    </row>
    <row r="513" spans="2:7" ht="20.100000000000001" customHeight="1" x14ac:dyDescent="0.25">
      <c r="B513" s="14" t="s">
        <v>574</v>
      </c>
      <c r="C513" s="15">
        <v>4</v>
      </c>
      <c r="D513" s="16">
        <v>455.43</v>
      </c>
      <c r="E513" s="17">
        <f t="shared" si="21"/>
        <v>113.8575</v>
      </c>
      <c r="F513" s="18">
        <f t="shared" si="22"/>
        <v>8</v>
      </c>
      <c r="G513" s="18" t="str">
        <f t="shared" si="23"/>
        <v>Sem premiação</v>
      </c>
    </row>
    <row r="514" spans="2:7" ht="20.100000000000001" customHeight="1" x14ac:dyDescent="0.25">
      <c r="B514" s="14" t="s">
        <v>575</v>
      </c>
      <c r="C514" s="15">
        <v>4</v>
      </c>
      <c r="D514" s="16">
        <v>536.04</v>
      </c>
      <c r="E514" s="17">
        <f t="shared" si="21"/>
        <v>134.01</v>
      </c>
      <c r="F514" s="18">
        <f t="shared" si="22"/>
        <v>8</v>
      </c>
      <c r="G514" s="18" t="str">
        <f t="shared" si="23"/>
        <v>Sem premiação</v>
      </c>
    </row>
    <row r="515" spans="2:7" ht="20.100000000000001" customHeight="1" x14ac:dyDescent="0.25">
      <c r="B515" s="14" t="s">
        <v>576</v>
      </c>
      <c r="C515" s="15">
        <v>4</v>
      </c>
      <c r="D515" s="16">
        <v>504.54</v>
      </c>
      <c r="E515" s="17">
        <f t="shared" si="21"/>
        <v>126.13500000000001</v>
      </c>
      <c r="F515" s="18">
        <f t="shared" si="22"/>
        <v>8</v>
      </c>
      <c r="G515" s="18" t="str">
        <f t="shared" si="23"/>
        <v>Sem premiação</v>
      </c>
    </row>
    <row r="516" spans="2:7" ht="20.100000000000001" customHeight="1" x14ac:dyDescent="0.25">
      <c r="B516" s="14" t="s">
        <v>577</v>
      </c>
      <c r="C516" s="15">
        <v>4</v>
      </c>
      <c r="D516" s="16">
        <v>654.04999999999995</v>
      </c>
      <c r="E516" s="17">
        <f t="shared" ref="E516:E579" si="24">D516/C516</f>
        <v>163.51249999999999</v>
      </c>
      <c r="F516" s="18">
        <f t="shared" ref="F516:F579" si="25">IFERROR(C516*_xlfn.XLOOKUP(E516,$J$4:$J$13,$K$4:$K$13,0,-1),0)</f>
        <v>12</v>
      </c>
      <c r="G516" s="18" t="str">
        <f t="shared" ref="G516:G579" si="26">IFERROR(VLOOKUP(F516,$J$16:$K$19,2,TRUE),"SEM PREMIAÇÃO")</f>
        <v>Sem premiação</v>
      </c>
    </row>
    <row r="517" spans="2:7" ht="20.100000000000001" customHeight="1" x14ac:dyDescent="0.25">
      <c r="B517" s="14" t="s">
        <v>578</v>
      </c>
      <c r="C517" s="15">
        <v>4</v>
      </c>
      <c r="D517" s="16">
        <v>514.04999999999995</v>
      </c>
      <c r="E517" s="17">
        <f t="shared" si="24"/>
        <v>128.51249999999999</v>
      </c>
      <c r="F517" s="18">
        <f t="shared" si="25"/>
        <v>8</v>
      </c>
      <c r="G517" s="18" t="str">
        <f t="shared" si="26"/>
        <v>Sem premiação</v>
      </c>
    </row>
    <row r="518" spans="2:7" ht="20.100000000000001" customHeight="1" x14ac:dyDescent="0.25">
      <c r="B518" s="14" t="s">
        <v>579</v>
      </c>
      <c r="C518" s="15">
        <v>4</v>
      </c>
      <c r="D518" s="16">
        <v>410.55</v>
      </c>
      <c r="E518" s="17">
        <f t="shared" si="24"/>
        <v>102.6375</v>
      </c>
      <c r="F518" s="18">
        <f t="shared" si="25"/>
        <v>8</v>
      </c>
      <c r="G518" s="18" t="str">
        <f t="shared" si="26"/>
        <v>Sem premiação</v>
      </c>
    </row>
    <row r="519" spans="2:7" ht="20.100000000000001" customHeight="1" x14ac:dyDescent="0.25">
      <c r="B519" s="14" t="s">
        <v>580</v>
      </c>
      <c r="C519" s="15">
        <v>4</v>
      </c>
      <c r="D519" s="16">
        <v>694.6</v>
      </c>
      <c r="E519" s="17">
        <f t="shared" si="24"/>
        <v>173.65</v>
      </c>
      <c r="F519" s="18">
        <f t="shared" si="25"/>
        <v>12</v>
      </c>
      <c r="G519" s="18" t="str">
        <f t="shared" si="26"/>
        <v>Sem premiação</v>
      </c>
    </row>
    <row r="520" spans="2:7" ht="20.100000000000001" customHeight="1" x14ac:dyDescent="0.25">
      <c r="B520" s="14" t="s">
        <v>581</v>
      </c>
      <c r="C520" s="15">
        <v>4</v>
      </c>
      <c r="D520" s="16">
        <v>1577</v>
      </c>
      <c r="E520" s="17">
        <f t="shared" si="24"/>
        <v>394.25</v>
      </c>
      <c r="F520" s="18">
        <f t="shared" si="25"/>
        <v>28</v>
      </c>
      <c r="G520" s="18" t="str">
        <f t="shared" si="26"/>
        <v>Sem premiação</v>
      </c>
    </row>
    <row r="521" spans="2:7" ht="20.100000000000001" customHeight="1" x14ac:dyDescent="0.25">
      <c r="B521" s="14" t="s">
        <v>582</v>
      </c>
      <c r="C521" s="15">
        <v>4</v>
      </c>
      <c r="D521" s="16">
        <v>429.58</v>
      </c>
      <c r="E521" s="17">
        <f t="shared" si="24"/>
        <v>107.395</v>
      </c>
      <c r="F521" s="18">
        <f t="shared" si="25"/>
        <v>8</v>
      </c>
      <c r="G521" s="18" t="str">
        <f t="shared" si="26"/>
        <v>Sem premiação</v>
      </c>
    </row>
    <row r="522" spans="2:7" ht="20.100000000000001" customHeight="1" x14ac:dyDescent="0.25">
      <c r="B522" s="14" t="s">
        <v>583</v>
      </c>
      <c r="C522" s="15">
        <v>4</v>
      </c>
      <c r="D522" s="16">
        <v>440.64</v>
      </c>
      <c r="E522" s="17">
        <f t="shared" si="24"/>
        <v>110.16</v>
      </c>
      <c r="F522" s="18">
        <f t="shared" si="25"/>
        <v>8</v>
      </c>
      <c r="G522" s="18" t="str">
        <f t="shared" si="26"/>
        <v>Sem premiação</v>
      </c>
    </row>
    <row r="523" spans="2:7" ht="20.100000000000001" customHeight="1" x14ac:dyDescent="0.25">
      <c r="B523" s="14" t="s">
        <v>584</v>
      </c>
      <c r="C523" s="15">
        <v>4</v>
      </c>
      <c r="D523" s="16">
        <v>828.7</v>
      </c>
      <c r="E523" s="17">
        <f t="shared" si="24"/>
        <v>207.17500000000001</v>
      </c>
      <c r="F523" s="18">
        <f t="shared" si="25"/>
        <v>16</v>
      </c>
      <c r="G523" s="18" t="str">
        <f t="shared" si="26"/>
        <v>Sem premiação</v>
      </c>
    </row>
    <row r="524" spans="2:7" ht="20.100000000000001" customHeight="1" x14ac:dyDescent="0.25">
      <c r="B524" s="14" t="s">
        <v>585</v>
      </c>
      <c r="C524" s="15">
        <v>4</v>
      </c>
      <c r="D524" s="16">
        <v>587.99</v>
      </c>
      <c r="E524" s="17">
        <f t="shared" si="24"/>
        <v>146.9975</v>
      </c>
      <c r="F524" s="18">
        <f t="shared" si="25"/>
        <v>8</v>
      </c>
      <c r="G524" s="18" t="str">
        <f t="shared" si="26"/>
        <v>Sem premiação</v>
      </c>
    </row>
    <row r="525" spans="2:7" ht="20.100000000000001" customHeight="1" x14ac:dyDescent="0.25">
      <c r="B525" s="14" t="s">
        <v>586</v>
      </c>
      <c r="C525" s="15">
        <v>4</v>
      </c>
      <c r="D525" s="16">
        <v>303.86</v>
      </c>
      <c r="E525" s="17">
        <f t="shared" si="24"/>
        <v>75.965000000000003</v>
      </c>
      <c r="F525" s="18">
        <f t="shared" si="25"/>
        <v>4</v>
      </c>
      <c r="G525" s="18" t="str">
        <f t="shared" si="26"/>
        <v>Sem premiação</v>
      </c>
    </row>
    <row r="526" spans="2:7" ht="20.100000000000001" customHeight="1" x14ac:dyDescent="0.25">
      <c r="B526" s="14" t="s">
        <v>587</v>
      </c>
      <c r="C526" s="15">
        <v>4</v>
      </c>
      <c r="D526" s="16">
        <v>508.31</v>
      </c>
      <c r="E526" s="17">
        <f t="shared" si="24"/>
        <v>127.0775</v>
      </c>
      <c r="F526" s="18">
        <f t="shared" si="25"/>
        <v>8</v>
      </c>
      <c r="G526" s="18" t="str">
        <f t="shared" si="26"/>
        <v>Sem premiação</v>
      </c>
    </row>
    <row r="527" spans="2:7" ht="20.100000000000001" customHeight="1" x14ac:dyDescent="0.25">
      <c r="B527" s="14" t="s">
        <v>588</v>
      </c>
      <c r="C527" s="15">
        <v>4</v>
      </c>
      <c r="D527" s="16">
        <v>870.36</v>
      </c>
      <c r="E527" s="17">
        <f t="shared" si="24"/>
        <v>217.59</v>
      </c>
      <c r="F527" s="18">
        <f t="shared" si="25"/>
        <v>16</v>
      </c>
      <c r="G527" s="18" t="str">
        <f t="shared" si="26"/>
        <v>Sem premiação</v>
      </c>
    </row>
    <row r="528" spans="2:7" ht="20.100000000000001" customHeight="1" x14ac:dyDescent="0.25">
      <c r="B528" s="14" t="s">
        <v>589</v>
      </c>
      <c r="C528" s="15">
        <v>4</v>
      </c>
      <c r="D528" s="16">
        <v>356.82</v>
      </c>
      <c r="E528" s="17">
        <f t="shared" si="24"/>
        <v>89.204999999999998</v>
      </c>
      <c r="F528" s="18">
        <f t="shared" si="25"/>
        <v>4</v>
      </c>
      <c r="G528" s="18" t="str">
        <f t="shared" si="26"/>
        <v>Sem premiação</v>
      </c>
    </row>
    <row r="529" spans="2:7" ht="20.100000000000001" customHeight="1" x14ac:dyDescent="0.25">
      <c r="B529" s="14" t="s">
        <v>590</v>
      </c>
      <c r="C529" s="15">
        <v>4</v>
      </c>
      <c r="D529" s="16">
        <v>348.12</v>
      </c>
      <c r="E529" s="17">
        <f t="shared" si="24"/>
        <v>87.03</v>
      </c>
      <c r="F529" s="18">
        <f t="shared" si="25"/>
        <v>4</v>
      </c>
      <c r="G529" s="18" t="str">
        <f t="shared" si="26"/>
        <v>Sem premiação</v>
      </c>
    </row>
    <row r="530" spans="2:7" ht="20.100000000000001" customHeight="1" x14ac:dyDescent="0.25">
      <c r="B530" s="14" t="s">
        <v>591</v>
      </c>
      <c r="C530" s="15">
        <v>4</v>
      </c>
      <c r="D530" s="16">
        <v>284.63</v>
      </c>
      <c r="E530" s="17">
        <f t="shared" si="24"/>
        <v>71.157499999999999</v>
      </c>
      <c r="F530" s="18">
        <f t="shared" si="25"/>
        <v>4</v>
      </c>
      <c r="G530" s="18" t="str">
        <f t="shared" si="26"/>
        <v>Sem premiação</v>
      </c>
    </row>
    <row r="531" spans="2:7" ht="20.100000000000001" customHeight="1" x14ac:dyDescent="0.25">
      <c r="B531" s="14" t="s">
        <v>592</v>
      </c>
      <c r="C531" s="15">
        <v>4</v>
      </c>
      <c r="D531" s="16">
        <v>415.18</v>
      </c>
      <c r="E531" s="17">
        <f t="shared" si="24"/>
        <v>103.795</v>
      </c>
      <c r="F531" s="18">
        <f t="shared" si="25"/>
        <v>8</v>
      </c>
      <c r="G531" s="18" t="str">
        <f t="shared" si="26"/>
        <v>Sem premiação</v>
      </c>
    </row>
    <row r="532" spans="2:7" ht="20.100000000000001" customHeight="1" x14ac:dyDescent="0.25">
      <c r="B532" s="14" t="s">
        <v>593</v>
      </c>
      <c r="C532" s="15">
        <v>4</v>
      </c>
      <c r="D532" s="16">
        <v>543.41999999999996</v>
      </c>
      <c r="E532" s="17">
        <f t="shared" si="24"/>
        <v>135.85499999999999</v>
      </c>
      <c r="F532" s="18">
        <f t="shared" si="25"/>
        <v>8</v>
      </c>
      <c r="G532" s="18" t="str">
        <f t="shared" si="26"/>
        <v>Sem premiação</v>
      </c>
    </row>
    <row r="533" spans="2:7" ht="20.100000000000001" customHeight="1" x14ac:dyDescent="0.25">
      <c r="B533" s="14" t="s">
        <v>594</v>
      </c>
      <c r="C533" s="15">
        <v>4</v>
      </c>
      <c r="D533" s="16">
        <v>516.25</v>
      </c>
      <c r="E533" s="17">
        <f t="shared" si="24"/>
        <v>129.0625</v>
      </c>
      <c r="F533" s="18">
        <f t="shared" si="25"/>
        <v>8</v>
      </c>
      <c r="G533" s="18" t="str">
        <f t="shared" si="26"/>
        <v>Sem premiação</v>
      </c>
    </row>
    <row r="534" spans="2:7" ht="20.100000000000001" customHeight="1" x14ac:dyDescent="0.25">
      <c r="B534" s="14" t="s">
        <v>595</v>
      </c>
      <c r="C534" s="15">
        <v>4</v>
      </c>
      <c r="D534" s="16">
        <v>1034.67</v>
      </c>
      <c r="E534" s="17">
        <f t="shared" si="24"/>
        <v>258.66750000000002</v>
      </c>
      <c r="F534" s="18">
        <f t="shared" si="25"/>
        <v>20</v>
      </c>
      <c r="G534" s="18" t="str">
        <f t="shared" si="26"/>
        <v>Sem premiação</v>
      </c>
    </row>
    <row r="535" spans="2:7" ht="20.100000000000001" customHeight="1" x14ac:dyDescent="0.25">
      <c r="B535" s="14" t="s">
        <v>596</v>
      </c>
      <c r="C535" s="15">
        <v>4</v>
      </c>
      <c r="D535" s="16">
        <v>632.37</v>
      </c>
      <c r="E535" s="17">
        <f t="shared" si="24"/>
        <v>158.0925</v>
      </c>
      <c r="F535" s="18">
        <f t="shared" si="25"/>
        <v>12</v>
      </c>
      <c r="G535" s="18" t="str">
        <f t="shared" si="26"/>
        <v>Sem premiação</v>
      </c>
    </row>
    <row r="536" spans="2:7" ht="20.100000000000001" customHeight="1" x14ac:dyDescent="0.25">
      <c r="B536" s="14" t="s">
        <v>597</v>
      </c>
      <c r="C536" s="15">
        <v>4</v>
      </c>
      <c r="D536" s="16">
        <v>315.54000000000002</v>
      </c>
      <c r="E536" s="17">
        <f t="shared" si="24"/>
        <v>78.885000000000005</v>
      </c>
      <c r="F536" s="18">
        <f t="shared" si="25"/>
        <v>4</v>
      </c>
      <c r="G536" s="18" t="str">
        <f t="shared" si="26"/>
        <v>Sem premiação</v>
      </c>
    </row>
    <row r="537" spans="2:7" ht="20.100000000000001" customHeight="1" x14ac:dyDescent="0.25">
      <c r="B537" s="14" t="s">
        <v>598</v>
      </c>
      <c r="C537" s="15">
        <v>4</v>
      </c>
      <c r="D537" s="16">
        <v>1553.26</v>
      </c>
      <c r="E537" s="17">
        <f t="shared" si="24"/>
        <v>388.315</v>
      </c>
      <c r="F537" s="18">
        <f t="shared" si="25"/>
        <v>28</v>
      </c>
      <c r="G537" s="18" t="str">
        <f t="shared" si="26"/>
        <v>Sem premiação</v>
      </c>
    </row>
    <row r="538" spans="2:7" ht="20.100000000000001" customHeight="1" x14ac:dyDescent="0.25">
      <c r="B538" s="14" t="s">
        <v>599</v>
      </c>
      <c r="C538" s="15">
        <v>4</v>
      </c>
      <c r="D538" s="16">
        <v>325.44</v>
      </c>
      <c r="E538" s="17">
        <f t="shared" si="24"/>
        <v>81.36</v>
      </c>
      <c r="F538" s="18">
        <f t="shared" si="25"/>
        <v>4</v>
      </c>
      <c r="G538" s="18" t="str">
        <f t="shared" si="26"/>
        <v>Sem premiação</v>
      </c>
    </row>
    <row r="539" spans="2:7" ht="20.100000000000001" customHeight="1" x14ac:dyDescent="0.25">
      <c r="B539" s="14" t="s">
        <v>600</v>
      </c>
      <c r="C539" s="15">
        <v>4</v>
      </c>
      <c r="D539" s="16">
        <v>857.57</v>
      </c>
      <c r="E539" s="17">
        <f t="shared" si="24"/>
        <v>214.39250000000001</v>
      </c>
      <c r="F539" s="18">
        <f t="shared" si="25"/>
        <v>16</v>
      </c>
      <c r="G539" s="18" t="str">
        <f t="shared" si="26"/>
        <v>Sem premiação</v>
      </c>
    </row>
    <row r="540" spans="2:7" ht="20.100000000000001" customHeight="1" x14ac:dyDescent="0.25">
      <c r="B540" s="14" t="s">
        <v>601</v>
      </c>
      <c r="C540" s="15">
        <v>4</v>
      </c>
      <c r="D540" s="16">
        <v>576.87</v>
      </c>
      <c r="E540" s="17">
        <f t="shared" si="24"/>
        <v>144.2175</v>
      </c>
      <c r="F540" s="18">
        <f t="shared" si="25"/>
        <v>8</v>
      </c>
      <c r="G540" s="18" t="str">
        <f t="shared" si="26"/>
        <v>Sem premiação</v>
      </c>
    </row>
    <row r="541" spans="2:7" ht="20.100000000000001" customHeight="1" x14ac:dyDescent="0.25">
      <c r="B541" s="14" t="s">
        <v>602</v>
      </c>
      <c r="C541" s="15">
        <v>4</v>
      </c>
      <c r="D541" s="16">
        <v>456.39</v>
      </c>
      <c r="E541" s="17">
        <f t="shared" si="24"/>
        <v>114.0975</v>
      </c>
      <c r="F541" s="18">
        <f t="shared" si="25"/>
        <v>8</v>
      </c>
      <c r="G541" s="18" t="str">
        <f t="shared" si="26"/>
        <v>Sem premiação</v>
      </c>
    </row>
    <row r="542" spans="2:7" ht="20.100000000000001" customHeight="1" x14ac:dyDescent="0.25">
      <c r="B542" s="14" t="s">
        <v>603</v>
      </c>
      <c r="C542" s="15">
        <v>4</v>
      </c>
      <c r="D542" s="16">
        <v>987.81</v>
      </c>
      <c r="E542" s="17">
        <f t="shared" si="24"/>
        <v>246.95249999999999</v>
      </c>
      <c r="F542" s="18">
        <f t="shared" si="25"/>
        <v>16</v>
      </c>
      <c r="G542" s="18" t="str">
        <f t="shared" si="26"/>
        <v>Sem premiação</v>
      </c>
    </row>
    <row r="543" spans="2:7" ht="20.100000000000001" customHeight="1" x14ac:dyDescent="0.25">
      <c r="B543" s="14" t="s">
        <v>604</v>
      </c>
      <c r="C543" s="15">
        <v>4</v>
      </c>
      <c r="D543" s="16">
        <v>810.96</v>
      </c>
      <c r="E543" s="17">
        <f t="shared" si="24"/>
        <v>202.74</v>
      </c>
      <c r="F543" s="18">
        <f t="shared" si="25"/>
        <v>16</v>
      </c>
      <c r="G543" s="18" t="str">
        <f t="shared" si="26"/>
        <v>Sem premiação</v>
      </c>
    </row>
    <row r="544" spans="2:7" ht="20.100000000000001" customHeight="1" x14ac:dyDescent="0.25">
      <c r="B544" s="14" t="s">
        <v>605</v>
      </c>
      <c r="C544" s="15">
        <v>4</v>
      </c>
      <c r="D544" s="16">
        <v>261.54000000000002</v>
      </c>
      <c r="E544" s="17">
        <f t="shared" si="24"/>
        <v>65.385000000000005</v>
      </c>
      <c r="F544" s="18">
        <f t="shared" si="25"/>
        <v>4</v>
      </c>
      <c r="G544" s="18" t="str">
        <f t="shared" si="26"/>
        <v>Sem premiação</v>
      </c>
    </row>
    <row r="545" spans="2:7" ht="20.100000000000001" customHeight="1" x14ac:dyDescent="0.25">
      <c r="B545" s="14" t="s">
        <v>606</v>
      </c>
      <c r="C545" s="15">
        <v>4</v>
      </c>
      <c r="D545" s="16">
        <v>669</v>
      </c>
      <c r="E545" s="17">
        <f t="shared" si="24"/>
        <v>167.25</v>
      </c>
      <c r="F545" s="18">
        <f t="shared" si="25"/>
        <v>12</v>
      </c>
      <c r="G545" s="18" t="str">
        <f t="shared" si="26"/>
        <v>Sem premiação</v>
      </c>
    </row>
    <row r="546" spans="2:7" ht="20.100000000000001" customHeight="1" x14ac:dyDescent="0.25">
      <c r="B546" s="14" t="s">
        <v>607</v>
      </c>
      <c r="C546" s="15">
        <v>4</v>
      </c>
      <c r="D546" s="16">
        <v>632.61</v>
      </c>
      <c r="E546" s="17">
        <f t="shared" si="24"/>
        <v>158.1525</v>
      </c>
      <c r="F546" s="18">
        <f t="shared" si="25"/>
        <v>12</v>
      </c>
      <c r="G546" s="18" t="str">
        <f t="shared" si="26"/>
        <v>Sem premiação</v>
      </c>
    </row>
    <row r="547" spans="2:7" ht="20.100000000000001" customHeight="1" x14ac:dyDescent="0.25">
      <c r="B547" s="14" t="s">
        <v>608</v>
      </c>
      <c r="C547" s="15">
        <v>4</v>
      </c>
      <c r="D547" s="16">
        <v>369.53</v>
      </c>
      <c r="E547" s="17">
        <f t="shared" si="24"/>
        <v>92.382499999999993</v>
      </c>
      <c r="F547" s="18">
        <f t="shared" si="25"/>
        <v>4</v>
      </c>
      <c r="G547" s="18" t="str">
        <f t="shared" si="26"/>
        <v>Sem premiação</v>
      </c>
    </row>
    <row r="548" spans="2:7" ht="20.100000000000001" customHeight="1" x14ac:dyDescent="0.25">
      <c r="B548" s="14" t="s">
        <v>609</v>
      </c>
      <c r="C548" s="15">
        <v>4</v>
      </c>
      <c r="D548" s="16">
        <v>503.52</v>
      </c>
      <c r="E548" s="17">
        <f t="shared" si="24"/>
        <v>125.88</v>
      </c>
      <c r="F548" s="18">
        <f t="shared" si="25"/>
        <v>8</v>
      </c>
      <c r="G548" s="18" t="str">
        <f t="shared" si="26"/>
        <v>Sem premiação</v>
      </c>
    </row>
    <row r="549" spans="2:7" ht="20.100000000000001" customHeight="1" x14ac:dyDescent="0.25">
      <c r="B549" s="14" t="s">
        <v>610</v>
      </c>
      <c r="C549" s="15">
        <v>4</v>
      </c>
      <c r="D549" s="16">
        <v>389.58</v>
      </c>
      <c r="E549" s="17">
        <f t="shared" si="24"/>
        <v>97.394999999999996</v>
      </c>
      <c r="F549" s="18">
        <f t="shared" si="25"/>
        <v>4</v>
      </c>
      <c r="G549" s="18" t="str">
        <f t="shared" si="26"/>
        <v>Sem premiação</v>
      </c>
    </row>
    <row r="550" spans="2:7" ht="20.100000000000001" customHeight="1" x14ac:dyDescent="0.25">
      <c r="B550" s="14" t="s">
        <v>611</v>
      </c>
      <c r="C550" s="15">
        <v>4</v>
      </c>
      <c r="D550" s="16">
        <v>659.81</v>
      </c>
      <c r="E550" s="17">
        <f t="shared" si="24"/>
        <v>164.95249999999999</v>
      </c>
      <c r="F550" s="18">
        <f t="shared" si="25"/>
        <v>12</v>
      </c>
      <c r="G550" s="18" t="str">
        <f t="shared" si="26"/>
        <v>Sem premiação</v>
      </c>
    </row>
    <row r="551" spans="2:7" ht="20.100000000000001" customHeight="1" x14ac:dyDescent="0.25">
      <c r="B551" s="14" t="s">
        <v>612</v>
      </c>
      <c r="C551" s="15">
        <v>4</v>
      </c>
      <c r="D551" s="16">
        <v>472.14</v>
      </c>
      <c r="E551" s="17">
        <f t="shared" si="24"/>
        <v>118.035</v>
      </c>
      <c r="F551" s="18">
        <f t="shared" si="25"/>
        <v>8</v>
      </c>
      <c r="G551" s="18" t="str">
        <f t="shared" si="26"/>
        <v>Sem premiação</v>
      </c>
    </row>
    <row r="552" spans="2:7" ht="20.100000000000001" customHeight="1" x14ac:dyDescent="0.25">
      <c r="B552" s="14" t="s">
        <v>613</v>
      </c>
      <c r="C552" s="15">
        <v>4</v>
      </c>
      <c r="D552" s="16">
        <v>259.74</v>
      </c>
      <c r="E552" s="17">
        <f t="shared" si="24"/>
        <v>64.935000000000002</v>
      </c>
      <c r="F552" s="18">
        <f t="shared" si="25"/>
        <v>4</v>
      </c>
      <c r="G552" s="18" t="str">
        <f t="shared" si="26"/>
        <v>Sem premiação</v>
      </c>
    </row>
    <row r="553" spans="2:7" ht="20.100000000000001" customHeight="1" x14ac:dyDescent="0.25">
      <c r="B553" s="14" t="s">
        <v>614</v>
      </c>
      <c r="C553" s="15">
        <v>4</v>
      </c>
      <c r="D553" s="16">
        <v>729.6</v>
      </c>
      <c r="E553" s="17">
        <f t="shared" si="24"/>
        <v>182.4</v>
      </c>
      <c r="F553" s="18">
        <f t="shared" si="25"/>
        <v>12</v>
      </c>
      <c r="G553" s="18" t="str">
        <f t="shared" si="26"/>
        <v>Sem premiação</v>
      </c>
    </row>
    <row r="554" spans="2:7" ht="20.100000000000001" customHeight="1" x14ac:dyDescent="0.25">
      <c r="B554" s="14" t="s">
        <v>615</v>
      </c>
      <c r="C554" s="15">
        <v>4</v>
      </c>
      <c r="D554" s="16">
        <v>782.15</v>
      </c>
      <c r="E554" s="17">
        <f t="shared" si="24"/>
        <v>195.53749999999999</v>
      </c>
      <c r="F554" s="18">
        <f t="shared" si="25"/>
        <v>12</v>
      </c>
      <c r="G554" s="18" t="str">
        <f t="shared" si="26"/>
        <v>Sem premiação</v>
      </c>
    </row>
    <row r="555" spans="2:7" ht="20.100000000000001" customHeight="1" x14ac:dyDescent="0.25">
      <c r="B555" s="14" t="s">
        <v>616</v>
      </c>
      <c r="C555" s="15">
        <v>4</v>
      </c>
      <c r="D555" s="16">
        <v>681.9</v>
      </c>
      <c r="E555" s="17">
        <f t="shared" si="24"/>
        <v>170.47499999999999</v>
      </c>
      <c r="F555" s="18">
        <f t="shared" si="25"/>
        <v>12</v>
      </c>
      <c r="G555" s="18" t="str">
        <f t="shared" si="26"/>
        <v>Sem premiação</v>
      </c>
    </row>
    <row r="556" spans="2:7" ht="20.100000000000001" customHeight="1" x14ac:dyDescent="0.25">
      <c r="B556" s="14" t="s">
        <v>617</v>
      </c>
      <c r="C556" s="15">
        <v>4</v>
      </c>
      <c r="D556" s="16">
        <v>380.09</v>
      </c>
      <c r="E556" s="17">
        <f t="shared" si="24"/>
        <v>95.022499999999994</v>
      </c>
      <c r="F556" s="18">
        <f t="shared" si="25"/>
        <v>4</v>
      </c>
      <c r="G556" s="18" t="str">
        <f t="shared" si="26"/>
        <v>Sem premiação</v>
      </c>
    </row>
    <row r="557" spans="2:7" ht="20.100000000000001" customHeight="1" x14ac:dyDescent="0.25">
      <c r="B557" s="14" t="s">
        <v>618</v>
      </c>
      <c r="C557" s="15">
        <v>3</v>
      </c>
      <c r="D557" s="16">
        <v>479.34</v>
      </c>
      <c r="E557" s="17">
        <f t="shared" si="24"/>
        <v>159.78</v>
      </c>
      <c r="F557" s="18">
        <f t="shared" si="25"/>
        <v>9</v>
      </c>
      <c r="G557" s="18" t="str">
        <f t="shared" si="26"/>
        <v>Sem premiação</v>
      </c>
    </row>
    <row r="558" spans="2:7" ht="20.100000000000001" customHeight="1" x14ac:dyDescent="0.25">
      <c r="B558" s="14" t="s">
        <v>619</v>
      </c>
      <c r="C558" s="15">
        <v>3</v>
      </c>
      <c r="D558" s="16">
        <v>463.92</v>
      </c>
      <c r="E558" s="17">
        <f t="shared" si="24"/>
        <v>154.64000000000001</v>
      </c>
      <c r="F558" s="18">
        <f t="shared" si="25"/>
        <v>9</v>
      </c>
      <c r="G558" s="18" t="str">
        <f t="shared" si="26"/>
        <v>Sem premiação</v>
      </c>
    </row>
    <row r="559" spans="2:7" ht="20.100000000000001" customHeight="1" x14ac:dyDescent="0.25">
      <c r="B559" s="14" t="s">
        <v>620</v>
      </c>
      <c r="C559" s="15">
        <v>3</v>
      </c>
      <c r="D559" s="16">
        <v>582.86</v>
      </c>
      <c r="E559" s="17">
        <f t="shared" si="24"/>
        <v>194.28666666666666</v>
      </c>
      <c r="F559" s="18">
        <f t="shared" si="25"/>
        <v>9</v>
      </c>
      <c r="G559" s="18" t="str">
        <f t="shared" si="26"/>
        <v>Sem premiação</v>
      </c>
    </row>
    <row r="560" spans="2:7" ht="20.100000000000001" customHeight="1" x14ac:dyDescent="0.25">
      <c r="B560" s="14" t="s">
        <v>621</v>
      </c>
      <c r="C560" s="15">
        <v>3</v>
      </c>
      <c r="D560" s="16">
        <v>303.7</v>
      </c>
      <c r="E560" s="17">
        <f t="shared" si="24"/>
        <v>101.23333333333333</v>
      </c>
      <c r="F560" s="18">
        <f t="shared" si="25"/>
        <v>6</v>
      </c>
      <c r="G560" s="18" t="str">
        <f t="shared" si="26"/>
        <v>Sem premiação</v>
      </c>
    </row>
    <row r="561" spans="2:7" ht="20.100000000000001" customHeight="1" x14ac:dyDescent="0.25">
      <c r="B561" s="14" t="s">
        <v>622</v>
      </c>
      <c r="C561" s="15">
        <v>3</v>
      </c>
      <c r="D561" s="16">
        <v>223.7</v>
      </c>
      <c r="E561" s="17">
        <f t="shared" si="24"/>
        <v>74.566666666666663</v>
      </c>
      <c r="F561" s="18">
        <f t="shared" si="25"/>
        <v>3</v>
      </c>
      <c r="G561" s="18" t="str">
        <f t="shared" si="26"/>
        <v>Sem premiação</v>
      </c>
    </row>
    <row r="562" spans="2:7" ht="20.100000000000001" customHeight="1" x14ac:dyDescent="0.25">
      <c r="B562" s="14" t="s">
        <v>623</v>
      </c>
      <c r="C562" s="15">
        <v>3</v>
      </c>
      <c r="D562" s="16">
        <v>2244.37</v>
      </c>
      <c r="E562" s="17">
        <f t="shared" si="24"/>
        <v>748.12333333333333</v>
      </c>
      <c r="F562" s="18">
        <f t="shared" si="25"/>
        <v>30</v>
      </c>
      <c r="G562" s="18" t="str">
        <f t="shared" si="26"/>
        <v>Sem premiação</v>
      </c>
    </row>
    <row r="563" spans="2:7" ht="20.100000000000001" customHeight="1" x14ac:dyDescent="0.25">
      <c r="B563" s="14" t="s">
        <v>624</v>
      </c>
      <c r="C563" s="15">
        <v>3</v>
      </c>
      <c r="D563" s="16">
        <v>648.28</v>
      </c>
      <c r="E563" s="17">
        <f t="shared" si="24"/>
        <v>216.09333333333333</v>
      </c>
      <c r="F563" s="18">
        <f t="shared" si="25"/>
        <v>12</v>
      </c>
      <c r="G563" s="18" t="str">
        <f t="shared" si="26"/>
        <v>Sem premiação</v>
      </c>
    </row>
    <row r="564" spans="2:7" ht="20.100000000000001" customHeight="1" x14ac:dyDescent="0.25">
      <c r="B564" s="14" t="s">
        <v>625</v>
      </c>
      <c r="C564" s="15">
        <v>3</v>
      </c>
      <c r="D564" s="16">
        <v>551.33000000000004</v>
      </c>
      <c r="E564" s="17">
        <f t="shared" si="24"/>
        <v>183.77666666666667</v>
      </c>
      <c r="F564" s="18">
        <f t="shared" si="25"/>
        <v>9</v>
      </c>
      <c r="G564" s="18" t="str">
        <f t="shared" si="26"/>
        <v>Sem premiação</v>
      </c>
    </row>
    <row r="565" spans="2:7" ht="20.100000000000001" customHeight="1" x14ac:dyDescent="0.25">
      <c r="B565" s="14" t="s">
        <v>626</v>
      </c>
      <c r="C565" s="15">
        <v>3</v>
      </c>
      <c r="D565" s="16">
        <v>238.83</v>
      </c>
      <c r="E565" s="17">
        <f t="shared" si="24"/>
        <v>79.61</v>
      </c>
      <c r="F565" s="18">
        <f t="shared" si="25"/>
        <v>3</v>
      </c>
      <c r="G565" s="18" t="str">
        <f t="shared" si="26"/>
        <v>Sem premiação</v>
      </c>
    </row>
    <row r="566" spans="2:7" ht="20.100000000000001" customHeight="1" x14ac:dyDescent="0.25">
      <c r="B566" s="14" t="s">
        <v>627</v>
      </c>
      <c r="C566" s="15">
        <v>3</v>
      </c>
      <c r="D566" s="16">
        <v>321.73</v>
      </c>
      <c r="E566" s="17">
        <f t="shared" si="24"/>
        <v>107.24333333333334</v>
      </c>
      <c r="F566" s="18">
        <f t="shared" si="25"/>
        <v>6</v>
      </c>
      <c r="G566" s="18" t="str">
        <f t="shared" si="26"/>
        <v>Sem premiação</v>
      </c>
    </row>
    <row r="567" spans="2:7" ht="20.100000000000001" customHeight="1" x14ac:dyDescent="0.25">
      <c r="B567" s="14" t="s">
        <v>628</v>
      </c>
      <c r="C567" s="15">
        <v>3</v>
      </c>
      <c r="D567" s="16">
        <v>395.28</v>
      </c>
      <c r="E567" s="17">
        <f t="shared" si="24"/>
        <v>131.76</v>
      </c>
      <c r="F567" s="18">
        <f t="shared" si="25"/>
        <v>6</v>
      </c>
      <c r="G567" s="18" t="str">
        <f t="shared" si="26"/>
        <v>Sem premiação</v>
      </c>
    </row>
    <row r="568" spans="2:7" ht="20.100000000000001" customHeight="1" x14ac:dyDescent="0.25">
      <c r="B568" s="14" t="s">
        <v>629</v>
      </c>
      <c r="C568" s="15">
        <v>3</v>
      </c>
      <c r="D568" s="16">
        <v>207.63</v>
      </c>
      <c r="E568" s="17">
        <f t="shared" si="24"/>
        <v>69.209999999999994</v>
      </c>
      <c r="F568" s="18">
        <f t="shared" si="25"/>
        <v>3</v>
      </c>
      <c r="G568" s="18" t="str">
        <f t="shared" si="26"/>
        <v>Sem premiação</v>
      </c>
    </row>
    <row r="569" spans="2:7" ht="20.100000000000001" customHeight="1" x14ac:dyDescent="0.25">
      <c r="B569" s="14" t="s">
        <v>630</v>
      </c>
      <c r="C569" s="15">
        <v>3</v>
      </c>
      <c r="D569" s="16">
        <v>301.23</v>
      </c>
      <c r="E569" s="17">
        <f t="shared" si="24"/>
        <v>100.41000000000001</v>
      </c>
      <c r="F569" s="18">
        <f t="shared" si="25"/>
        <v>6</v>
      </c>
      <c r="G569" s="18" t="str">
        <f t="shared" si="26"/>
        <v>Sem premiação</v>
      </c>
    </row>
    <row r="570" spans="2:7" ht="20.100000000000001" customHeight="1" x14ac:dyDescent="0.25">
      <c r="B570" s="14" t="s">
        <v>631</v>
      </c>
      <c r="C570" s="15">
        <v>3</v>
      </c>
      <c r="D570" s="16">
        <v>516.70000000000005</v>
      </c>
      <c r="E570" s="17">
        <f t="shared" si="24"/>
        <v>172.23333333333335</v>
      </c>
      <c r="F570" s="18">
        <f t="shared" si="25"/>
        <v>9</v>
      </c>
      <c r="G570" s="18" t="str">
        <f t="shared" si="26"/>
        <v>Sem premiação</v>
      </c>
    </row>
    <row r="571" spans="2:7" ht="20.100000000000001" customHeight="1" x14ac:dyDescent="0.25">
      <c r="B571" s="14" t="s">
        <v>632</v>
      </c>
      <c r="C571" s="15">
        <v>3</v>
      </c>
      <c r="D571" s="16">
        <v>754.08</v>
      </c>
      <c r="E571" s="17">
        <f t="shared" si="24"/>
        <v>251.36</v>
      </c>
      <c r="F571" s="18">
        <f t="shared" si="25"/>
        <v>15</v>
      </c>
      <c r="G571" s="18" t="str">
        <f t="shared" si="26"/>
        <v>Sem premiação</v>
      </c>
    </row>
    <row r="572" spans="2:7" ht="20.100000000000001" customHeight="1" x14ac:dyDescent="0.25">
      <c r="B572" s="14" t="s">
        <v>633</v>
      </c>
      <c r="C572" s="15">
        <v>3</v>
      </c>
      <c r="D572" s="16">
        <v>461.64</v>
      </c>
      <c r="E572" s="17">
        <f t="shared" si="24"/>
        <v>153.88</v>
      </c>
      <c r="F572" s="18">
        <f t="shared" si="25"/>
        <v>9</v>
      </c>
      <c r="G572" s="18" t="str">
        <f t="shared" si="26"/>
        <v>Sem premiação</v>
      </c>
    </row>
    <row r="573" spans="2:7" ht="20.100000000000001" customHeight="1" x14ac:dyDescent="0.25">
      <c r="B573" s="14" t="s">
        <v>634</v>
      </c>
      <c r="C573" s="15">
        <v>3</v>
      </c>
      <c r="D573" s="16">
        <v>328.27</v>
      </c>
      <c r="E573" s="17">
        <f t="shared" si="24"/>
        <v>109.42333333333333</v>
      </c>
      <c r="F573" s="18">
        <f t="shared" si="25"/>
        <v>6</v>
      </c>
      <c r="G573" s="18" t="str">
        <f t="shared" si="26"/>
        <v>Sem premiação</v>
      </c>
    </row>
    <row r="574" spans="2:7" ht="20.100000000000001" customHeight="1" x14ac:dyDescent="0.25">
      <c r="B574" s="14" t="s">
        <v>635</v>
      </c>
      <c r="C574" s="15">
        <v>3</v>
      </c>
      <c r="D574" s="16">
        <v>584.70000000000005</v>
      </c>
      <c r="E574" s="17">
        <f t="shared" si="24"/>
        <v>194.9</v>
      </c>
      <c r="F574" s="18">
        <f t="shared" si="25"/>
        <v>9</v>
      </c>
      <c r="G574" s="18" t="str">
        <f t="shared" si="26"/>
        <v>Sem premiação</v>
      </c>
    </row>
    <row r="575" spans="2:7" ht="20.100000000000001" customHeight="1" x14ac:dyDescent="0.25">
      <c r="B575" s="14" t="s">
        <v>636</v>
      </c>
      <c r="C575" s="15">
        <v>3</v>
      </c>
      <c r="D575" s="16">
        <v>445.99</v>
      </c>
      <c r="E575" s="17">
        <f t="shared" si="24"/>
        <v>148.66333333333333</v>
      </c>
      <c r="F575" s="18">
        <f t="shared" si="25"/>
        <v>6</v>
      </c>
      <c r="G575" s="18" t="str">
        <f t="shared" si="26"/>
        <v>Sem premiação</v>
      </c>
    </row>
    <row r="576" spans="2:7" ht="20.100000000000001" customHeight="1" x14ac:dyDescent="0.25">
      <c r="B576" s="14" t="s">
        <v>637</v>
      </c>
      <c r="C576" s="15">
        <v>3</v>
      </c>
      <c r="D576" s="16">
        <v>236.43</v>
      </c>
      <c r="E576" s="17">
        <f t="shared" si="24"/>
        <v>78.81</v>
      </c>
      <c r="F576" s="18">
        <f t="shared" si="25"/>
        <v>3</v>
      </c>
      <c r="G576" s="18" t="str">
        <f t="shared" si="26"/>
        <v>Sem premiação</v>
      </c>
    </row>
    <row r="577" spans="2:7" ht="20.100000000000001" customHeight="1" x14ac:dyDescent="0.25">
      <c r="B577" s="14" t="s">
        <v>638</v>
      </c>
      <c r="C577" s="15">
        <v>3</v>
      </c>
      <c r="D577" s="16">
        <v>391.22</v>
      </c>
      <c r="E577" s="17">
        <f t="shared" si="24"/>
        <v>130.40666666666667</v>
      </c>
      <c r="F577" s="18">
        <f t="shared" si="25"/>
        <v>6</v>
      </c>
      <c r="G577" s="18" t="str">
        <f t="shared" si="26"/>
        <v>Sem premiação</v>
      </c>
    </row>
    <row r="578" spans="2:7" ht="20.100000000000001" customHeight="1" x14ac:dyDescent="0.25">
      <c r="B578" s="14" t="s">
        <v>639</v>
      </c>
      <c r="C578" s="15">
        <v>3</v>
      </c>
      <c r="D578" s="16">
        <v>892.74</v>
      </c>
      <c r="E578" s="17">
        <f t="shared" si="24"/>
        <v>297.58</v>
      </c>
      <c r="F578" s="18">
        <f t="shared" si="25"/>
        <v>15</v>
      </c>
      <c r="G578" s="18" t="str">
        <f t="shared" si="26"/>
        <v>Sem premiação</v>
      </c>
    </row>
    <row r="579" spans="2:7" ht="20.100000000000001" customHeight="1" x14ac:dyDescent="0.25">
      <c r="B579" s="14" t="s">
        <v>640</v>
      </c>
      <c r="C579" s="15">
        <v>3</v>
      </c>
      <c r="D579" s="16">
        <v>1083.98</v>
      </c>
      <c r="E579" s="17">
        <f t="shared" si="24"/>
        <v>361.32666666666665</v>
      </c>
      <c r="F579" s="18">
        <f t="shared" si="25"/>
        <v>21</v>
      </c>
      <c r="G579" s="18" t="str">
        <f t="shared" si="26"/>
        <v>Sem premiação</v>
      </c>
    </row>
    <row r="580" spans="2:7" ht="20.100000000000001" customHeight="1" x14ac:dyDescent="0.25">
      <c r="B580" s="14" t="s">
        <v>641</v>
      </c>
      <c r="C580" s="15">
        <v>3</v>
      </c>
      <c r="D580" s="16">
        <v>519.74</v>
      </c>
      <c r="E580" s="17">
        <f t="shared" ref="E580:E643" si="27">D580/C580</f>
        <v>173.24666666666667</v>
      </c>
      <c r="F580" s="18">
        <f t="shared" ref="F580:F643" si="28">IFERROR(C580*_xlfn.XLOOKUP(E580,$J$4:$J$13,$K$4:$K$13,0,-1),0)</f>
        <v>9</v>
      </c>
      <c r="G580" s="18" t="str">
        <f t="shared" ref="G580:G643" si="29">IFERROR(VLOOKUP(F580,$J$16:$K$19,2,TRUE),"SEM PREMIAÇÃO")</f>
        <v>Sem premiação</v>
      </c>
    </row>
    <row r="581" spans="2:7" ht="20.100000000000001" customHeight="1" x14ac:dyDescent="0.25">
      <c r="B581" s="14" t="s">
        <v>642</v>
      </c>
      <c r="C581" s="15">
        <v>3</v>
      </c>
      <c r="D581" s="16">
        <v>441.38</v>
      </c>
      <c r="E581" s="17">
        <f t="shared" si="27"/>
        <v>147.12666666666667</v>
      </c>
      <c r="F581" s="18">
        <f t="shared" si="28"/>
        <v>6</v>
      </c>
      <c r="G581" s="18" t="str">
        <f t="shared" si="29"/>
        <v>Sem premiação</v>
      </c>
    </row>
    <row r="582" spans="2:7" ht="20.100000000000001" customHeight="1" x14ac:dyDescent="0.25">
      <c r="B582" s="14" t="s">
        <v>643</v>
      </c>
      <c r="C582" s="15">
        <v>3</v>
      </c>
      <c r="D582" s="16">
        <v>182.43</v>
      </c>
      <c r="E582" s="17">
        <f t="shared" si="27"/>
        <v>60.81</v>
      </c>
      <c r="F582" s="18">
        <f t="shared" si="28"/>
        <v>3</v>
      </c>
      <c r="G582" s="18" t="str">
        <f t="shared" si="29"/>
        <v>Sem premiação</v>
      </c>
    </row>
    <row r="583" spans="2:7" ht="20.100000000000001" customHeight="1" x14ac:dyDescent="0.25">
      <c r="B583" s="14" t="s">
        <v>644</v>
      </c>
      <c r="C583" s="15">
        <v>3</v>
      </c>
      <c r="D583" s="16">
        <v>307.77999999999997</v>
      </c>
      <c r="E583" s="17">
        <f t="shared" si="27"/>
        <v>102.59333333333332</v>
      </c>
      <c r="F583" s="18">
        <f t="shared" si="28"/>
        <v>6</v>
      </c>
      <c r="G583" s="18" t="str">
        <f t="shared" si="29"/>
        <v>Sem premiação</v>
      </c>
    </row>
    <row r="584" spans="2:7" ht="20.100000000000001" customHeight="1" x14ac:dyDescent="0.25">
      <c r="B584" s="14" t="s">
        <v>645</v>
      </c>
      <c r="C584" s="15">
        <v>3</v>
      </c>
      <c r="D584" s="16">
        <v>1219.32</v>
      </c>
      <c r="E584" s="17">
        <f t="shared" si="27"/>
        <v>406.44</v>
      </c>
      <c r="F584" s="18">
        <f t="shared" si="28"/>
        <v>24</v>
      </c>
      <c r="G584" s="18" t="str">
        <f t="shared" si="29"/>
        <v>Sem premiação</v>
      </c>
    </row>
    <row r="585" spans="2:7" ht="20.100000000000001" customHeight="1" x14ac:dyDescent="0.25">
      <c r="B585" s="14" t="s">
        <v>646</v>
      </c>
      <c r="C585" s="15">
        <v>3</v>
      </c>
      <c r="D585" s="16">
        <v>335.11</v>
      </c>
      <c r="E585" s="17">
        <f t="shared" si="27"/>
        <v>111.70333333333333</v>
      </c>
      <c r="F585" s="18">
        <f t="shared" si="28"/>
        <v>6</v>
      </c>
      <c r="G585" s="18" t="str">
        <f t="shared" si="29"/>
        <v>Sem premiação</v>
      </c>
    </row>
    <row r="586" spans="2:7" ht="20.100000000000001" customHeight="1" x14ac:dyDescent="0.25">
      <c r="B586" s="14" t="s">
        <v>647</v>
      </c>
      <c r="C586" s="15">
        <v>3</v>
      </c>
      <c r="D586" s="16">
        <v>651.38</v>
      </c>
      <c r="E586" s="17">
        <f t="shared" si="27"/>
        <v>217.12666666666667</v>
      </c>
      <c r="F586" s="18">
        <f t="shared" si="28"/>
        <v>12</v>
      </c>
      <c r="G586" s="18" t="str">
        <f t="shared" si="29"/>
        <v>Sem premiação</v>
      </c>
    </row>
    <row r="587" spans="2:7" ht="20.100000000000001" customHeight="1" x14ac:dyDescent="0.25">
      <c r="B587" s="14" t="s">
        <v>648</v>
      </c>
      <c r="C587" s="15">
        <v>3</v>
      </c>
      <c r="D587" s="16">
        <v>430.51</v>
      </c>
      <c r="E587" s="17">
        <f t="shared" si="27"/>
        <v>143.50333333333333</v>
      </c>
      <c r="F587" s="18">
        <f t="shared" si="28"/>
        <v>6</v>
      </c>
      <c r="G587" s="18" t="str">
        <f t="shared" si="29"/>
        <v>Sem premiação</v>
      </c>
    </row>
    <row r="588" spans="2:7" ht="20.100000000000001" customHeight="1" x14ac:dyDescent="0.25">
      <c r="B588" s="14" t="s">
        <v>649</v>
      </c>
      <c r="C588" s="15">
        <v>3</v>
      </c>
      <c r="D588" s="16">
        <v>380.12</v>
      </c>
      <c r="E588" s="17">
        <f t="shared" si="27"/>
        <v>126.70666666666666</v>
      </c>
      <c r="F588" s="18">
        <f t="shared" si="28"/>
        <v>6</v>
      </c>
      <c r="G588" s="18" t="str">
        <f t="shared" si="29"/>
        <v>Sem premiação</v>
      </c>
    </row>
    <row r="589" spans="2:7" ht="20.100000000000001" customHeight="1" x14ac:dyDescent="0.25">
      <c r="B589" s="14" t="s">
        <v>650</v>
      </c>
      <c r="C589" s="15">
        <v>3</v>
      </c>
      <c r="D589" s="16">
        <v>432</v>
      </c>
      <c r="E589" s="17">
        <f t="shared" si="27"/>
        <v>144</v>
      </c>
      <c r="F589" s="18">
        <f t="shared" si="28"/>
        <v>6</v>
      </c>
      <c r="G589" s="18" t="str">
        <f t="shared" si="29"/>
        <v>Sem premiação</v>
      </c>
    </row>
    <row r="590" spans="2:7" ht="20.100000000000001" customHeight="1" x14ac:dyDescent="0.25">
      <c r="B590" s="14" t="s">
        <v>651</v>
      </c>
      <c r="C590" s="15">
        <v>3</v>
      </c>
      <c r="D590" s="16">
        <v>374.53</v>
      </c>
      <c r="E590" s="17">
        <f t="shared" si="27"/>
        <v>124.84333333333332</v>
      </c>
      <c r="F590" s="18">
        <f t="shared" si="28"/>
        <v>6</v>
      </c>
      <c r="G590" s="18" t="str">
        <f t="shared" si="29"/>
        <v>Sem premiação</v>
      </c>
    </row>
    <row r="591" spans="2:7" ht="20.100000000000001" customHeight="1" x14ac:dyDescent="0.25">
      <c r="B591" s="14" t="s">
        <v>652</v>
      </c>
      <c r="C591" s="15">
        <v>3</v>
      </c>
      <c r="D591" s="16">
        <v>430.69</v>
      </c>
      <c r="E591" s="17">
        <f t="shared" si="27"/>
        <v>143.56333333333333</v>
      </c>
      <c r="F591" s="18">
        <f t="shared" si="28"/>
        <v>6</v>
      </c>
      <c r="G591" s="18" t="str">
        <f t="shared" si="29"/>
        <v>Sem premiação</v>
      </c>
    </row>
    <row r="592" spans="2:7" ht="20.100000000000001" customHeight="1" x14ac:dyDescent="0.25">
      <c r="B592" s="14" t="s">
        <v>653</v>
      </c>
      <c r="C592" s="15">
        <v>3</v>
      </c>
      <c r="D592" s="16">
        <v>455.49</v>
      </c>
      <c r="E592" s="17">
        <f t="shared" si="27"/>
        <v>151.83000000000001</v>
      </c>
      <c r="F592" s="18">
        <f t="shared" si="28"/>
        <v>9</v>
      </c>
      <c r="G592" s="18" t="str">
        <f t="shared" si="29"/>
        <v>Sem premiação</v>
      </c>
    </row>
    <row r="593" spans="2:7" ht="20.100000000000001" customHeight="1" x14ac:dyDescent="0.25">
      <c r="B593" s="14" t="s">
        <v>654</v>
      </c>
      <c r="C593" s="15">
        <v>3</v>
      </c>
      <c r="D593" s="16">
        <v>309.62</v>
      </c>
      <c r="E593" s="17">
        <f t="shared" si="27"/>
        <v>103.20666666666666</v>
      </c>
      <c r="F593" s="18">
        <f t="shared" si="28"/>
        <v>6</v>
      </c>
      <c r="G593" s="18" t="str">
        <f t="shared" si="29"/>
        <v>Sem premiação</v>
      </c>
    </row>
    <row r="594" spans="2:7" ht="20.100000000000001" customHeight="1" x14ac:dyDescent="0.25">
      <c r="B594" s="14" t="s">
        <v>655</v>
      </c>
      <c r="C594" s="15">
        <v>3</v>
      </c>
      <c r="D594" s="16">
        <v>569.23</v>
      </c>
      <c r="E594" s="17">
        <f t="shared" si="27"/>
        <v>189.74333333333334</v>
      </c>
      <c r="F594" s="18">
        <f t="shared" si="28"/>
        <v>9</v>
      </c>
      <c r="G594" s="18" t="str">
        <f t="shared" si="29"/>
        <v>Sem premiação</v>
      </c>
    </row>
    <row r="595" spans="2:7" ht="20.100000000000001" customHeight="1" x14ac:dyDescent="0.25">
      <c r="B595" s="14" t="s">
        <v>656</v>
      </c>
      <c r="C595" s="15">
        <v>3</v>
      </c>
      <c r="D595" s="16">
        <v>322.42</v>
      </c>
      <c r="E595" s="17">
        <f t="shared" si="27"/>
        <v>107.47333333333334</v>
      </c>
      <c r="F595" s="18">
        <f t="shared" si="28"/>
        <v>6</v>
      </c>
      <c r="G595" s="18" t="str">
        <f t="shared" si="29"/>
        <v>Sem premiação</v>
      </c>
    </row>
    <row r="596" spans="2:7" ht="20.100000000000001" customHeight="1" x14ac:dyDescent="0.25">
      <c r="B596" s="14" t="s">
        <v>657</v>
      </c>
      <c r="C596" s="15">
        <v>3</v>
      </c>
      <c r="D596" s="16">
        <v>456.88</v>
      </c>
      <c r="E596" s="17">
        <f t="shared" si="27"/>
        <v>152.29333333333332</v>
      </c>
      <c r="F596" s="18">
        <f t="shared" si="28"/>
        <v>9</v>
      </c>
      <c r="G596" s="18" t="str">
        <f t="shared" si="29"/>
        <v>Sem premiação</v>
      </c>
    </row>
    <row r="597" spans="2:7" ht="20.100000000000001" customHeight="1" x14ac:dyDescent="0.25">
      <c r="B597" s="14" t="s">
        <v>658</v>
      </c>
      <c r="C597" s="15">
        <v>3</v>
      </c>
      <c r="D597" s="16">
        <v>611.94000000000005</v>
      </c>
      <c r="E597" s="17">
        <f t="shared" si="27"/>
        <v>203.98000000000002</v>
      </c>
      <c r="F597" s="18">
        <f t="shared" si="28"/>
        <v>12</v>
      </c>
      <c r="G597" s="18" t="str">
        <f t="shared" si="29"/>
        <v>Sem premiação</v>
      </c>
    </row>
    <row r="598" spans="2:7" ht="20.100000000000001" customHeight="1" x14ac:dyDescent="0.25">
      <c r="B598" s="14" t="s">
        <v>659</v>
      </c>
      <c r="C598" s="15">
        <v>3</v>
      </c>
      <c r="D598" s="16">
        <v>379.48</v>
      </c>
      <c r="E598" s="17">
        <f t="shared" si="27"/>
        <v>126.49333333333334</v>
      </c>
      <c r="F598" s="18">
        <f t="shared" si="28"/>
        <v>6</v>
      </c>
      <c r="G598" s="18" t="str">
        <f t="shared" si="29"/>
        <v>Sem premiação</v>
      </c>
    </row>
    <row r="599" spans="2:7" ht="20.100000000000001" customHeight="1" x14ac:dyDescent="0.25">
      <c r="B599" s="14" t="s">
        <v>660</v>
      </c>
      <c r="C599" s="15">
        <v>3</v>
      </c>
      <c r="D599" s="16">
        <v>476.59</v>
      </c>
      <c r="E599" s="17">
        <f t="shared" si="27"/>
        <v>158.86333333333332</v>
      </c>
      <c r="F599" s="18">
        <f t="shared" si="28"/>
        <v>9</v>
      </c>
      <c r="G599" s="18" t="str">
        <f t="shared" si="29"/>
        <v>Sem premiação</v>
      </c>
    </row>
    <row r="600" spans="2:7" ht="20.100000000000001" customHeight="1" x14ac:dyDescent="0.25">
      <c r="B600" s="14" t="s">
        <v>661</v>
      </c>
      <c r="C600" s="15">
        <v>3</v>
      </c>
      <c r="D600" s="16">
        <v>302.13</v>
      </c>
      <c r="E600" s="17">
        <f t="shared" si="27"/>
        <v>100.71</v>
      </c>
      <c r="F600" s="18">
        <f t="shared" si="28"/>
        <v>6</v>
      </c>
      <c r="G600" s="18" t="str">
        <f t="shared" si="29"/>
        <v>Sem premiação</v>
      </c>
    </row>
    <row r="601" spans="2:7" ht="20.100000000000001" customHeight="1" x14ac:dyDescent="0.25">
      <c r="B601" s="14" t="s">
        <v>662</v>
      </c>
      <c r="C601" s="15">
        <v>3</v>
      </c>
      <c r="D601" s="16">
        <v>455.62</v>
      </c>
      <c r="E601" s="17">
        <f t="shared" si="27"/>
        <v>151.87333333333333</v>
      </c>
      <c r="F601" s="18">
        <f t="shared" si="28"/>
        <v>9</v>
      </c>
      <c r="G601" s="18" t="str">
        <f t="shared" si="29"/>
        <v>Sem premiação</v>
      </c>
    </row>
    <row r="602" spans="2:7" ht="20.100000000000001" customHeight="1" x14ac:dyDescent="0.25">
      <c r="B602" s="14" t="s">
        <v>663</v>
      </c>
      <c r="C602" s="15">
        <v>3</v>
      </c>
      <c r="D602" s="16">
        <v>338.41</v>
      </c>
      <c r="E602" s="17">
        <f t="shared" si="27"/>
        <v>112.80333333333334</v>
      </c>
      <c r="F602" s="18">
        <f t="shared" si="28"/>
        <v>6</v>
      </c>
      <c r="G602" s="18" t="str">
        <f t="shared" si="29"/>
        <v>Sem premiação</v>
      </c>
    </row>
    <row r="603" spans="2:7" ht="20.100000000000001" customHeight="1" x14ac:dyDescent="0.25">
      <c r="B603" s="14" t="s">
        <v>664</v>
      </c>
      <c r="C603" s="15">
        <v>3</v>
      </c>
      <c r="D603" s="16">
        <v>177.03</v>
      </c>
      <c r="E603" s="17">
        <f t="shared" si="27"/>
        <v>59.01</v>
      </c>
      <c r="F603" s="18">
        <f t="shared" si="28"/>
        <v>3</v>
      </c>
      <c r="G603" s="18" t="str">
        <f t="shared" si="29"/>
        <v>Sem premiação</v>
      </c>
    </row>
    <row r="604" spans="2:7" ht="20.100000000000001" customHeight="1" x14ac:dyDescent="0.25">
      <c r="B604" s="14" t="s">
        <v>665</v>
      </c>
      <c r="C604" s="15">
        <v>3</v>
      </c>
      <c r="D604" s="16">
        <v>446.32</v>
      </c>
      <c r="E604" s="17">
        <f t="shared" si="27"/>
        <v>148.77333333333334</v>
      </c>
      <c r="F604" s="18">
        <f t="shared" si="28"/>
        <v>6</v>
      </c>
      <c r="G604" s="18" t="str">
        <f t="shared" si="29"/>
        <v>Sem premiação</v>
      </c>
    </row>
    <row r="605" spans="2:7" ht="20.100000000000001" customHeight="1" x14ac:dyDescent="0.25">
      <c r="B605" s="14" t="s">
        <v>666</v>
      </c>
      <c r="C605" s="15">
        <v>3</v>
      </c>
      <c r="D605" s="16">
        <v>416.99</v>
      </c>
      <c r="E605" s="17">
        <f t="shared" si="27"/>
        <v>138.99666666666667</v>
      </c>
      <c r="F605" s="18">
        <f t="shared" si="28"/>
        <v>6</v>
      </c>
      <c r="G605" s="18" t="str">
        <f t="shared" si="29"/>
        <v>Sem premiação</v>
      </c>
    </row>
    <row r="606" spans="2:7" ht="20.100000000000001" customHeight="1" x14ac:dyDescent="0.25">
      <c r="B606" s="14" t="s">
        <v>667</v>
      </c>
      <c r="C606" s="15">
        <v>3</v>
      </c>
      <c r="D606" s="16">
        <v>354.82</v>
      </c>
      <c r="E606" s="17">
        <f t="shared" si="27"/>
        <v>118.27333333333333</v>
      </c>
      <c r="F606" s="18">
        <f t="shared" si="28"/>
        <v>6</v>
      </c>
      <c r="G606" s="18" t="str">
        <f t="shared" si="29"/>
        <v>Sem premiação</v>
      </c>
    </row>
    <row r="607" spans="2:7" ht="20.100000000000001" customHeight="1" x14ac:dyDescent="0.25">
      <c r="B607" s="14" t="s">
        <v>668</v>
      </c>
      <c r="C607" s="15">
        <v>3</v>
      </c>
      <c r="D607" s="16">
        <v>711.03</v>
      </c>
      <c r="E607" s="17">
        <f t="shared" si="27"/>
        <v>237.01</v>
      </c>
      <c r="F607" s="18">
        <f t="shared" si="28"/>
        <v>12</v>
      </c>
      <c r="G607" s="18" t="str">
        <f t="shared" si="29"/>
        <v>Sem premiação</v>
      </c>
    </row>
    <row r="608" spans="2:7" ht="20.100000000000001" customHeight="1" x14ac:dyDescent="0.25">
      <c r="B608" s="14" t="s">
        <v>669</v>
      </c>
      <c r="C608" s="15">
        <v>3</v>
      </c>
      <c r="D608" s="16">
        <v>213.93</v>
      </c>
      <c r="E608" s="17">
        <f t="shared" si="27"/>
        <v>71.31</v>
      </c>
      <c r="F608" s="18">
        <f t="shared" si="28"/>
        <v>3</v>
      </c>
      <c r="G608" s="18" t="str">
        <f t="shared" si="29"/>
        <v>Sem premiação</v>
      </c>
    </row>
    <row r="609" spans="2:7" ht="20.100000000000001" customHeight="1" x14ac:dyDescent="0.25">
      <c r="B609" s="14" t="s">
        <v>670</v>
      </c>
      <c r="C609" s="15">
        <v>3</v>
      </c>
      <c r="D609" s="16">
        <v>528.88</v>
      </c>
      <c r="E609" s="17">
        <f t="shared" si="27"/>
        <v>176.29333333333332</v>
      </c>
      <c r="F609" s="18">
        <f t="shared" si="28"/>
        <v>9</v>
      </c>
      <c r="G609" s="18" t="str">
        <f t="shared" si="29"/>
        <v>Sem premiação</v>
      </c>
    </row>
    <row r="610" spans="2:7" ht="20.100000000000001" customHeight="1" x14ac:dyDescent="0.25">
      <c r="B610" s="14" t="s">
        <v>671</v>
      </c>
      <c r="C610" s="15">
        <v>3</v>
      </c>
      <c r="D610" s="16">
        <v>407.34</v>
      </c>
      <c r="E610" s="17">
        <f t="shared" si="27"/>
        <v>135.78</v>
      </c>
      <c r="F610" s="18">
        <f t="shared" si="28"/>
        <v>6</v>
      </c>
      <c r="G610" s="18" t="str">
        <f t="shared" si="29"/>
        <v>Sem premiação</v>
      </c>
    </row>
    <row r="611" spans="2:7" ht="20.100000000000001" customHeight="1" x14ac:dyDescent="0.25">
      <c r="B611" s="14" t="s">
        <v>672</v>
      </c>
      <c r="C611" s="15">
        <v>3</v>
      </c>
      <c r="D611" s="16">
        <v>418.69</v>
      </c>
      <c r="E611" s="17">
        <f t="shared" si="27"/>
        <v>139.56333333333333</v>
      </c>
      <c r="F611" s="18">
        <f t="shared" si="28"/>
        <v>6</v>
      </c>
      <c r="G611" s="18" t="str">
        <f t="shared" si="29"/>
        <v>Sem premiação</v>
      </c>
    </row>
    <row r="612" spans="2:7" ht="20.100000000000001" customHeight="1" x14ac:dyDescent="0.25">
      <c r="B612" s="14" t="s">
        <v>673</v>
      </c>
      <c r="C612" s="15">
        <v>3</v>
      </c>
      <c r="D612" s="16">
        <v>196.83</v>
      </c>
      <c r="E612" s="17">
        <f t="shared" si="27"/>
        <v>65.61</v>
      </c>
      <c r="F612" s="18">
        <f t="shared" si="28"/>
        <v>3</v>
      </c>
      <c r="G612" s="18" t="str">
        <f t="shared" si="29"/>
        <v>Sem premiação</v>
      </c>
    </row>
    <row r="613" spans="2:7" ht="20.100000000000001" customHeight="1" x14ac:dyDescent="0.25">
      <c r="B613" s="14" t="s">
        <v>674</v>
      </c>
      <c r="C613" s="15">
        <v>3</v>
      </c>
      <c r="D613" s="16">
        <v>566.15</v>
      </c>
      <c r="E613" s="17">
        <f t="shared" si="27"/>
        <v>188.71666666666667</v>
      </c>
      <c r="F613" s="18">
        <f t="shared" si="28"/>
        <v>9</v>
      </c>
      <c r="G613" s="18" t="str">
        <f t="shared" si="29"/>
        <v>Sem premiação</v>
      </c>
    </row>
    <row r="614" spans="2:7" ht="20.100000000000001" customHeight="1" x14ac:dyDescent="0.25">
      <c r="B614" s="14" t="s">
        <v>675</v>
      </c>
      <c r="C614" s="15">
        <v>3</v>
      </c>
      <c r="D614" s="16">
        <v>409.02</v>
      </c>
      <c r="E614" s="17">
        <f t="shared" si="27"/>
        <v>136.34</v>
      </c>
      <c r="F614" s="18">
        <f t="shared" si="28"/>
        <v>6</v>
      </c>
      <c r="G614" s="18" t="str">
        <f t="shared" si="29"/>
        <v>Sem premiação</v>
      </c>
    </row>
    <row r="615" spans="2:7" ht="20.100000000000001" customHeight="1" x14ac:dyDescent="0.25">
      <c r="B615" s="14" t="s">
        <v>676</v>
      </c>
      <c r="C615" s="15">
        <v>3</v>
      </c>
      <c r="D615" s="16">
        <v>328.84</v>
      </c>
      <c r="E615" s="17">
        <f t="shared" si="27"/>
        <v>109.61333333333333</v>
      </c>
      <c r="F615" s="18">
        <f t="shared" si="28"/>
        <v>6</v>
      </c>
      <c r="G615" s="18" t="str">
        <f t="shared" si="29"/>
        <v>Sem premiação</v>
      </c>
    </row>
    <row r="616" spans="2:7" ht="20.100000000000001" customHeight="1" x14ac:dyDescent="0.25">
      <c r="B616" s="14" t="s">
        <v>677</v>
      </c>
      <c r="C616" s="15">
        <v>3</v>
      </c>
      <c r="D616" s="16">
        <v>232.83</v>
      </c>
      <c r="E616" s="17">
        <f t="shared" si="27"/>
        <v>77.61</v>
      </c>
      <c r="F616" s="18">
        <f t="shared" si="28"/>
        <v>3</v>
      </c>
      <c r="G616" s="18" t="str">
        <f t="shared" si="29"/>
        <v>Sem premiação</v>
      </c>
    </row>
    <row r="617" spans="2:7" ht="20.100000000000001" customHeight="1" x14ac:dyDescent="0.25">
      <c r="B617" s="14" t="s">
        <v>678</v>
      </c>
      <c r="C617" s="15">
        <v>3</v>
      </c>
      <c r="D617" s="16">
        <v>269.82</v>
      </c>
      <c r="E617" s="17">
        <f t="shared" si="27"/>
        <v>89.94</v>
      </c>
      <c r="F617" s="18">
        <f t="shared" si="28"/>
        <v>3</v>
      </c>
      <c r="G617" s="18" t="str">
        <f t="shared" si="29"/>
        <v>Sem premiação</v>
      </c>
    </row>
    <row r="618" spans="2:7" ht="20.100000000000001" customHeight="1" x14ac:dyDescent="0.25">
      <c r="B618" s="14" t="s">
        <v>679</v>
      </c>
      <c r="C618" s="15">
        <v>3</v>
      </c>
      <c r="D618" s="16">
        <v>720.43</v>
      </c>
      <c r="E618" s="17">
        <f t="shared" si="27"/>
        <v>240.14333333333332</v>
      </c>
      <c r="F618" s="18">
        <f t="shared" si="28"/>
        <v>12</v>
      </c>
      <c r="G618" s="18" t="str">
        <f t="shared" si="29"/>
        <v>Sem premiação</v>
      </c>
    </row>
    <row r="619" spans="2:7" ht="20.100000000000001" customHeight="1" x14ac:dyDescent="0.25">
      <c r="B619" s="14" t="s">
        <v>680</v>
      </c>
      <c r="C619" s="15">
        <v>3</v>
      </c>
      <c r="D619" s="16">
        <v>387.62</v>
      </c>
      <c r="E619" s="17">
        <f t="shared" si="27"/>
        <v>129.20666666666668</v>
      </c>
      <c r="F619" s="18">
        <f t="shared" si="28"/>
        <v>6</v>
      </c>
      <c r="G619" s="18" t="str">
        <f t="shared" si="29"/>
        <v>Sem premiação</v>
      </c>
    </row>
    <row r="620" spans="2:7" ht="20.100000000000001" customHeight="1" x14ac:dyDescent="0.25">
      <c r="B620" s="14" t="s">
        <v>681</v>
      </c>
      <c r="C620" s="15">
        <v>3</v>
      </c>
      <c r="D620" s="16">
        <v>241.24</v>
      </c>
      <c r="E620" s="17">
        <f t="shared" si="27"/>
        <v>80.413333333333341</v>
      </c>
      <c r="F620" s="18">
        <f t="shared" si="28"/>
        <v>3</v>
      </c>
      <c r="G620" s="18" t="str">
        <f t="shared" si="29"/>
        <v>Sem premiação</v>
      </c>
    </row>
    <row r="621" spans="2:7" ht="20.100000000000001" customHeight="1" x14ac:dyDescent="0.25">
      <c r="B621" s="14" t="s">
        <v>682</v>
      </c>
      <c r="C621" s="15">
        <v>3</v>
      </c>
      <c r="D621" s="16">
        <v>370.74</v>
      </c>
      <c r="E621" s="17">
        <f t="shared" si="27"/>
        <v>123.58</v>
      </c>
      <c r="F621" s="18">
        <f t="shared" si="28"/>
        <v>6</v>
      </c>
      <c r="G621" s="18" t="str">
        <f t="shared" si="29"/>
        <v>Sem premiação</v>
      </c>
    </row>
    <row r="622" spans="2:7" ht="20.100000000000001" customHeight="1" x14ac:dyDescent="0.25">
      <c r="B622" s="14" t="s">
        <v>683</v>
      </c>
      <c r="C622" s="15">
        <v>3</v>
      </c>
      <c r="D622" s="16">
        <v>522.47</v>
      </c>
      <c r="E622" s="17">
        <f t="shared" si="27"/>
        <v>174.15666666666667</v>
      </c>
      <c r="F622" s="18">
        <f t="shared" si="28"/>
        <v>9</v>
      </c>
      <c r="G622" s="18" t="str">
        <f t="shared" si="29"/>
        <v>Sem premiação</v>
      </c>
    </row>
    <row r="623" spans="2:7" ht="20.100000000000001" customHeight="1" x14ac:dyDescent="0.25">
      <c r="B623" s="14" t="s">
        <v>684</v>
      </c>
      <c r="C623" s="15">
        <v>3</v>
      </c>
      <c r="D623" s="16">
        <v>187.83</v>
      </c>
      <c r="E623" s="17">
        <f t="shared" si="27"/>
        <v>62.610000000000007</v>
      </c>
      <c r="F623" s="18">
        <f t="shared" si="28"/>
        <v>3</v>
      </c>
      <c r="G623" s="18" t="str">
        <f t="shared" si="29"/>
        <v>Sem premiação</v>
      </c>
    </row>
    <row r="624" spans="2:7" ht="20.100000000000001" customHeight="1" x14ac:dyDescent="0.25">
      <c r="B624" s="14" t="s">
        <v>685</v>
      </c>
      <c r="C624" s="15">
        <v>3</v>
      </c>
      <c r="D624" s="16">
        <v>448.07</v>
      </c>
      <c r="E624" s="17">
        <f t="shared" si="27"/>
        <v>149.35666666666665</v>
      </c>
      <c r="F624" s="18">
        <f t="shared" si="28"/>
        <v>6</v>
      </c>
      <c r="G624" s="18" t="str">
        <f t="shared" si="29"/>
        <v>Sem premiação</v>
      </c>
    </row>
    <row r="625" spans="2:7" ht="20.100000000000001" customHeight="1" x14ac:dyDescent="0.25">
      <c r="B625" s="14" t="s">
        <v>686</v>
      </c>
      <c r="C625" s="15">
        <v>3</v>
      </c>
      <c r="D625" s="16">
        <v>330.7</v>
      </c>
      <c r="E625" s="17">
        <f t="shared" si="27"/>
        <v>110.23333333333333</v>
      </c>
      <c r="F625" s="18">
        <f t="shared" si="28"/>
        <v>6</v>
      </c>
      <c r="G625" s="18" t="str">
        <f t="shared" si="29"/>
        <v>Sem premiação</v>
      </c>
    </row>
    <row r="626" spans="2:7" ht="20.100000000000001" customHeight="1" x14ac:dyDescent="0.25">
      <c r="B626" s="14" t="s">
        <v>687</v>
      </c>
      <c r="C626" s="15">
        <v>3</v>
      </c>
      <c r="D626" s="16">
        <v>536.96</v>
      </c>
      <c r="E626" s="17">
        <f t="shared" si="27"/>
        <v>178.98666666666668</v>
      </c>
      <c r="F626" s="18">
        <f t="shared" si="28"/>
        <v>9</v>
      </c>
      <c r="G626" s="18" t="str">
        <f t="shared" si="29"/>
        <v>Sem premiação</v>
      </c>
    </row>
    <row r="627" spans="2:7" ht="20.100000000000001" customHeight="1" x14ac:dyDescent="0.25">
      <c r="B627" s="14" t="s">
        <v>688</v>
      </c>
      <c r="C627" s="15">
        <v>3</v>
      </c>
      <c r="D627" s="16">
        <v>440.49</v>
      </c>
      <c r="E627" s="17">
        <f t="shared" si="27"/>
        <v>146.83000000000001</v>
      </c>
      <c r="F627" s="18">
        <f t="shared" si="28"/>
        <v>6</v>
      </c>
      <c r="G627" s="18" t="str">
        <f t="shared" si="29"/>
        <v>Sem premiação</v>
      </c>
    </row>
    <row r="628" spans="2:7" ht="20.100000000000001" customHeight="1" x14ac:dyDescent="0.25">
      <c r="B628" s="14" t="s">
        <v>689</v>
      </c>
      <c r="C628" s="15">
        <v>3</v>
      </c>
      <c r="D628" s="16">
        <v>262.87</v>
      </c>
      <c r="E628" s="17">
        <f t="shared" si="27"/>
        <v>87.623333333333335</v>
      </c>
      <c r="F628" s="18">
        <f t="shared" si="28"/>
        <v>3</v>
      </c>
      <c r="G628" s="18" t="str">
        <f t="shared" si="29"/>
        <v>Sem premiação</v>
      </c>
    </row>
    <row r="629" spans="2:7" ht="20.100000000000001" customHeight="1" x14ac:dyDescent="0.25">
      <c r="B629" s="14" t="s">
        <v>690</v>
      </c>
      <c r="C629" s="15">
        <v>3</v>
      </c>
      <c r="D629" s="16">
        <v>295.83</v>
      </c>
      <c r="E629" s="17">
        <f t="shared" si="27"/>
        <v>98.61</v>
      </c>
      <c r="F629" s="18">
        <f t="shared" si="28"/>
        <v>3</v>
      </c>
      <c r="G629" s="18" t="str">
        <f t="shared" si="29"/>
        <v>Sem premiação</v>
      </c>
    </row>
    <row r="630" spans="2:7" ht="20.100000000000001" customHeight="1" x14ac:dyDescent="0.25">
      <c r="B630" s="14" t="s">
        <v>691</v>
      </c>
      <c r="C630" s="15">
        <v>3</v>
      </c>
      <c r="D630" s="16">
        <v>570.78</v>
      </c>
      <c r="E630" s="17">
        <f t="shared" si="27"/>
        <v>190.26</v>
      </c>
      <c r="F630" s="18">
        <f t="shared" si="28"/>
        <v>9</v>
      </c>
      <c r="G630" s="18" t="str">
        <f t="shared" si="29"/>
        <v>Sem premiação</v>
      </c>
    </row>
    <row r="631" spans="2:7" ht="20.100000000000001" customHeight="1" x14ac:dyDescent="0.25">
      <c r="B631" s="14" t="s">
        <v>692</v>
      </c>
      <c r="C631" s="15">
        <v>3</v>
      </c>
      <c r="D631" s="16">
        <v>307.89999999999998</v>
      </c>
      <c r="E631" s="17">
        <f t="shared" si="27"/>
        <v>102.63333333333333</v>
      </c>
      <c r="F631" s="18">
        <f t="shared" si="28"/>
        <v>6</v>
      </c>
      <c r="G631" s="18" t="str">
        <f t="shared" si="29"/>
        <v>Sem premiação</v>
      </c>
    </row>
    <row r="632" spans="2:7" ht="20.100000000000001" customHeight="1" x14ac:dyDescent="0.25">
      <c r="B632" s="14" t="s">
        <v>693</v>
      </c>
      <c r="C632" s="15">
        <v>3</v>
      </c>
      <c r="D632" s="16">
        <v>205.7</v>
      </c>
      <c r="E632" s="17">
        <f t="shared" si="27"/>
        <v>68.566666666666663</v>
      </c>
      <c r="F632" s="18">
        <f t="shared" si="28"/>
        <v>3</v>
      </c>
      <c r="G632" s="18" t="str">
        <f t="shared" si="29"/>
        <v>Sem premiação</v>
      </c>
    </row>
    <row r="633" spans="2:7" ht="20.100000000000001" customHeight="1" x14ac:dyDescent="0.25">
      <c r="B633" s="14" t="s">
        <v>694</v>
      </c>
      <c r="C633" s="15">
        <v>3</v>
      </c>
      <c r="D633" s="16">
        <v>309.33</v>
      </c>
      <c r="E633" s="17">
        <f t="shared" si="27"/>
        <v>103.11</v>
      </c>
      <c r="F633" s="18">
        <f t="shared" si="28"/>
        <v>6</v>
      </c>
      <c r="G633" s="18" t="str">
        <f t="shared" si="29"/>
        <v>Sem premiação</v>
      </c>
    </row>
    <row r="634" spans="2:7" ht="20.100000000000001" customHeight="1" x14ac:dyDescent="0.25">
      <c r="B634" s="14" t="s">
        <v>695</v>
      </c>
      <c r="C634" s="15">
        <v>3</v>
      </c>
      <c r="D634" s="16">
        <v>303.39</v>
      </c>
      <c r="E634" s="17">
        <f t="shared" si="27"/>
        <v>101.13</v>
      </c>
      <c r="F634" s="18">
        <f t="shared" si="28"/>
        <v>6</v>
      </c>
      <c r="G634" s="18" t="str">
        <f t="shared" si="29"/>
        <v>Sem premiação</v>
      </c>
    </row>
    <row r="635" spans="2:7" ht="20.100000000000001" customHeight="1" x14ac:dyDescent="0.25">
      <c r="B635" s="14" t="s">
        <v>696</v>
      </c>
      <c r="C635" s="15">
        <v>2</v>
      </c>
      <c r="D635" s="16">
        <v>177.08</v>
      </c>
      <c r="E635" s="17">
        <f t="shared" si="27"/>
        <v>88.54</v>
      </c>
      <c r="F635" s="18">
        <f t="shared" si="28"/>
        <v>2</v>
      </c>
      <c r="G635" s="18" t="str">
        <f t="shared" si="29"/>
        <v>Sem premiação</v>
      </c>
    </row>
    <row r="636" spans="2:7" ht="20.100000000000001" customHeight="1" x14ac:dyDescent="0.25">
      <c r="B636" s="14" t="s">
        <v>697</v>
      </c>
      <c r="C636" s="15">
        <v>2</v>
      </c>
      <c r="D636" s="16">
        <v>551.45000000000005</v>
      </c>
      <c r="E636" s="17">
        <f t="shared" si="27"/>
        <v>275.72500000000002</v>
      </c>
      <c r="F636" s="18">
        <f t="shared" si="28"/>
        <v>10</v>
      </c>
      <c r="G636" s="18" t="str">
        <f t="shared" si="29"/>
        <v>Sem premiação</v>
      </c>
    </row>
    <row r="637" spans="2:7" ht="20.100000000000001" customHeight="1" x14ac:dyDescent="0.25">
      <c r="B637" s="14" t="s">
        <v>698</v>
      </c>
      <c r="C637" s="15">
        <v>2</v>
      </c>
      <c r="D637" s="16">
        <v>437.57</v>
      </c>
      <c r="E637" s="17">
        <f t="shared" si="27"/>
        <v>218.785</v>
      </c>
      <c r="F637" s="18">
        <f t="shared" si="28"/>
        <v>8</v>
      </c>
      <c r="G637" s="18" t="str">
        <f t="shared" si="29"/>
        <v>Sem premiação</v>
      </c>
    </row>
    <row r="638" spans="2:7" ht="20.100000000000001" customHeight="1" x14ac:dyDescent="0.25">
      <c r="B638" s="14" t="s">
        <v>699</v>
      </c>
      <c r="C638" s="15">
        <v>2</v>
      </c>
      <c r="D638" s="16">
        <v>288.36</v>
      </c>
      <c r="E638" s="17">
        <f t="shared" si="27"/>
        <v>144.18</v>
      </c>
      <c r="F638" s="18">
        <f t="shared" si="28"/>
        <v>4</v>
      </c>
      <c r="G638" s="18" t="str">
        <f t="shared" si="29"/>
        <v>Sem premiação</v>
      </c>
    </row>
    <row r="639" spans="2:7" ht="20.100000000000001" customHeight="1" x14ac:dyDescent="0.25">
      <c r="B639" s="14" t="s">
        <v>700</v>
      </c>
      <c r="C639" s="15">
        <v>2</v>
      </c>
      <c r="D639" s="16">
        <v>157.80000000000001</v>
      </c>
      <c r="E639" s="17">
        <f t="shared" si="27"/>
        <v>78.900000000000006</v>
      </c>
      <c r="F639" s="18">
        <f t="shared" si="28"/>
        <v>2</v>
      </c>
      <c r="G639" s="18" t="str">
        <f t="shared" si="29"/>
        <v>Sem premiação</v>
      </c>
    </row>
    <row r="640" spans="2:7" ht="20.100000000000001" customHeight="1" x14ac:dyDescent="0.25">
      <c r="B640" s="14" t="s">
        <v>701</v>
      </c>
      <c r="C640" s="15">
        <v>2</v>
      </c>
      <c r="D640" s="16">
        <v>168.12</v>
      </c>
      <c r="E640" s="17">
        <f t="shared" si="27"/>
        <v>84.06</v>
      </c>
      <c r="F640" s="18">
        <f t="shared" si="28"/>
        <v>2</v>
      </c>
      <c r="G640" s="18" t="str">
        <f t="shared" si="29"/>
        <v>Sem premiação</v>
      </c>
    </row>
    <row r="641" spans="2:7" ht="20.100000000000001" customHeight="1" x14ac:dyDescent="0.25">
      <c r="B641" s="14" t="s">
        <v>702</v>
      </c>
      <c r="C641" s="15">
        <v>2</v>
      </c>
      <c r="D641" s="16">
        <v>262.07</v>
      </c>
      <c r="E641" s="17">
        <f t="shared" si="27"/>
        <v>131.035</v>
      </c>
      <c r="F641" s="18">
        <f t="shared" si="28"/>
        <v>4</v>
      </c>
      <c r="G641" s="18" t="str">
        <f t="shared" si="29"/>
        <v>Sem premiação</v>
      </c>
    </row>
    <row r="642" spans="2:7" ht="20.100000000000001" customHeight="1" x14ac:dyDescent="0.25">
      <c r="B642" s="14" t="s">
        <v>703</v>
      </c>
      <c r="C642" s="15">
        <v>2</v>
      </c>
      <c r="D642" s="16">
        <v>760</v>
      </c>
      <c r="E642" s="17">
        <f t="shared" si="27"/>
        <v>380</v>
      </c>
      <c r="F642" s="18">
        <f t="shared" si="28"/>
        <v>14</v>
      </c>
      <c r="G642" s="18" t="str">
        <f t="shared" si="29"/>
        <v>Sem premiação</v>
      </c>
    </row>
    <row r="643" spans="2:7" ht="20.100000000000001" customHeight="1" x14ac:dyDescent="0.25">
      <c r="B643" s="14" t="s">
        <v>704</v>
      </c>
      <c r="C643" s="15">
        <v>2</v>
      </c>
      <c r="D643" s="16">
        <v>297.95999999999998</v>
      </c>
      <c r="E643" s="17">
        <f t="shared" si="27"/>
        <v>148.97999999999999</v>
      </c>
      <c r="F643" s="18">
        <f t="shared" si="28"/>
        <v>4</v>
      </c>
      <c r="G643" s="18" t="str">
        <f t="shared" si="29"/>
        <v>Sem premiação</v>
      </c>
    </row>
    <row r="644" spans="2:7" ht="20.100000000000001" customHeight="1" x14ac:dyDescent="0.25">
      <c r="B644" s="14" t="s">
        <v>705</v>
      </c>
      <c r="C644" s="15">
        <v>2</v>
      </c>
      <c r="D644" s="16">
        <v>356.82</v>
      </c>
      <c r="E644" s="17">
        <f t="shared" ref="E644:E707" si="30">D644/C644</f>
        <v>178.41</v>
      </c>
      <c r="F644" s="18">
        <f t="shared" ref="F644:F707" si="31">IFERROR(C644*_xlfn.XLOOKUP(E644,$J$4:$J$13,$K$4:$K$13,0,-1),0)</f>
        <v>6</v>
      </c>
      <c r="G644" s="18" t="str">
        <f t="shared" ref="G644:G707" si="32">IFERROR(VLOOKUP(F644,$J$16:$K$19,2,TRUE),"SEM PREMIAÇÃO")</f>
        <v>Sem premiação</v>
      </c>
    </row>
    <row r="645" spans="2:7" ht="20.100000000000001" customHeight="1" x14ac:dyDescent="0.25">
      <c r="B645" s="14" t="s">
        <v>706</v>
      </c>
      <c r="C645" s="15">
        <v>2</v>
      </c>
      <c r="D645" s="16">
        <v>273.52</v>
      </c>
      <c r="E645" s="17">
        <f t="shared" si="30"/>
        <v>136.76</v>
      </c>
      <c r="F645" s="18">
        <f t="shared" si="31"/>
        <v>4</v>
      </c>
      <c r="G645" s="18" t="str">
        <f t="shared" si="32"/>
        <v>Sem premiação</v>
      </c>
    </row>
    <row r="646" spans="2:7" ht="20.100000000000001" customHeight="1" x14ac:dyDescent="0.25">
      <c r="B646" s="14" t="s">
        <v>707</v>
      </c>
      <c r="C646" s="15">
        <v>2</v>
      </c>
      <c r="D646" s="16">
        <v>302.20999999999998</v>
      </c>
      <c r="E646" s="17">
        <f t="shared" si="30"/>
        <v>151.10499999999999</v>
      </c>
      <c r="F646" s="18">
        <f t="shared" si="31"/>
        <v>6</v>
      </c>
      <c r="G646" s="18" t="str">
        <f t="shared" si="32"/>
        <v>Sem premiação</v>
      </c>
    </row>
    <row r="647" spans="2:7" ht="20.100000000000001" customHeight="1" x14ac:dyDescent="0.25">
      <c r="B647" s="14" t="s">
        <v>708</v>
      </c>
      <c r="C647" s="15">
        <v>2</v>
      </c>
      <c r="D647" s="16">
        <v>367.38</v>
      </c>
      <c r="E647" s="17">
        <f t="shared" si="30"/>
        <v>183.69</v>
      </c>
      <c r="F647" s="18">
        <f t="shared" si="31"/>
        <v>6</v>
      </c>
      <c r="G647" s="18" t="str">
        <f t="shared" si="32"/>
        <v>Sem premiação</v>
      </c>
    </row>
    <row r="648" spans="2:7" ht="20.100000000000001" customHeight="1" x14ac:dyDescent="0.25">
      <c r="B648" s="14" t="s">
        <v>709</v>
      </c>
      <c r="C648" s="15">
        <v>2</v>
      </c>
      <c r="D648" s="16">
        <v>215.23</v>
      </c>
      <c r="E648" s="17">
        <f t="shared" si="30"/>
        <v>107.61499999999999</v>
      </c>
      <c r="F648" s="18">
        <f t="shared" si="31"/>
        <v>4</v>
      </c>
      <c r="G648" s="18" t="str">
        <f t="shared" si="32"/>
        <v>Sem premiação</v>
      </c>
    </row>
    <row r="649" spans="2:7" ht="20.100000000000001" customHeight="1" x14ac:dyDescent="0.25">
      <c r="B649" s="14" t="s">
        <v>710</v>
      </c>
      <c r="C649" s="15">
        <v>2</v>
      </c>
      <c r="D649" s="16">
        <v>1354.4</v>
      </c>
      <c r="E649" s="17">
        <f t="shared" si="30"/>
        <v>677.2</v>
      </c>
      <c r="F649" s="18">
        <f t="shared" si="31"/>
        <v>20</v>
      </c>
      <c r="G649" s="18" t="str">
        <f t="shared" si="32"/>
        <v>Sem premiação</v>
      </c>
    </row>
    <row r="650" spans="2:7" ht="20.100000000000001" customHeight="1" x14ac:dyDescent="0.25">
      <c r="B650" s="14" t="s">
        <v>711</v>
      </c>
      <c r="C650" s="15">
        <v>2</v>
      </c>
      <c r="D650" s="16">
        <v>778.98</v>
      </c>
      <c r="E650" s="17">
        <f t="shared" si="30"/>
        <v>389.49</v>
      </c>
      <c r="F650" s="18">
        <f t="shared" si="31"/>
        <v>14</v>
      </c>
      <c r="G650" s="18" t="str">
        <f t="shared" si="32"/>
        <v>Sem premiação</v>
      </c>
    </row>
    <row r="651" spans="2:7" ht="20.100000000000001" customHeight="1" x14ac:dyDescent="0.25">
      <c r="B651" s="14" t="s">
        <v>712</v>
      </c>
      <c r="C651" s="15">
        <v>2</v>
      </c>
      <c r="D651" s="16">
        <v>166.11</v>
      </c>
      <c r="E651" s="17">
        <f t="shared" si="30"/>
        <v>83.055000000000007</v>
      </c>
      <c r="F651" s="18">
        <f t="shared" si="31"/>
        <v>2</v>
      </c>
      <c r="G651" s="18" t="str">
        <f t="shared" si="32"/>
        <v>Sem premiação</v>
      </c>
    </row>
    <row r="652" spans="2:7" ht="20.100000000000001" customHeight="1" x14ac:dyDescent="0.25">
      <c r="B652" s="14" t="s">
        <v>713</v>
      </c>
      <c r="C652" s="15">
        <v>2</v>
      </c>
      <c r="D652" s="16">
        <v>260</v>
      </c>
      <c r="E652" s="17">
        <f t="shared" si="30"/>
        <v>130</v>
      </c>
      <c r="F652" s="18">
        <f t="shared" si="31"/>
        <v>4</v>
      </c>
      <c r="G652" s="18" t="str">
        <f t="shared" si="32"/>
        <v>Sem premiação</v>
      </c>
    </row>
    <row r="653" spans="2:7" ht="20.100000000000001" customHeight="1" x14ac:dyDescent="0.25">
      <c r="B653" s="14" t="s">
        <v>714</v>
      </c>
      <c r="C653" s="15">
        <v>2</v>
      </c>
      <c r="D653" s="16">
        <v>381.13</v>
      </c>
      <c r="E653" s="17">
        <f t="shared" si="30"/>
        <v>190.565</v>
      </c>
      <c r="F653" s="18">
        <f t="shared" si="31"/>
        <v>6</v>
      </c>
      <c r="G653" s="18" t="str">
        <f t="shared" si="32"/>
        <v>Sem premiação</v>
      </c>
    </row>
    <row r="654" spans="2:7" ht="20.100000000000001" customHeight="1" x14ac:dyDescent="0.25">
      <c r="B654" s="14" t="s">
        <v>715</v>
      </c>
      <c r="C654" s="15">
        <v>2</v>
      </c>
      <c r="D654" s="16">
        <v>214.92</v>
      </c>
      <c r="E654" s="17">
        <f t="shared" si="30"/>
        <v>107.46</v>
      </c>
      <c r="F654" s="18">
        <f t="shared" si="31"/>
        <v>4</v>
      </c>
      <c r="G654" s="18" t="str">
        <f t="shared" si="32"/>
        <v>Sem premiação</v>
      </c>
    </row>
    <row r="655" spans="2:7" ht="20.100000000000001" customHeight="1" x14ac:dyDescent="0.25">
      <c r="B655" s="14" t="s">
        <v>716</v>
      </c>
      <c r="C655" s="15">
        <v>2</v>
      </c>
      <c r="D655" s="16">
        <v>375.52</v>
      </c>
      <c r="E655" s="17">
        <f t="shared" si="30"/>
        <v>187.76</v>
      </c>
      <c r="F655" s="18">
        <f t="shared" si="31"/>
        <v>6</v>
      </c>
      <c r="G655" s="18" t="str">
        <f t="shared" si="32"/>
        <v>Sem premiação</v>
      </c>
    </row>
    <row r="656" spans="2:7" ht="20.100000000000001" customHeight="1" x14ac:dyDescent="0.25">
      <c r="B656" s="14" t="s">
        <v>717</v>
      </c>
      <c r="C656" s="15">
        <v>2</v>
      </c>
      <c r="D656" s="16">
        <v>209.72</v>
      </c>
      <c r="E656" s="17">
        <f t="shared" si="30"/>
        <v>104.86</v>
      </c>
      <c r="F656" s="18">
        <f t="shared" si="31"/>
        <v>4</v>
      </c>
      <c r="G656" s="18" t="str">
        <f t="shared" si="32"/>
        <v>Sem premiação</v>
      </c>
    </row>
    <row r="657" spans="2:7" ht="20.100000000000001" customHeight="1" x14ac:dyDescent="0.25">
      <c r="B657" s="14" t="s">
        <v>718</v>
      </c>
      <c r="C657" s="15">
        <v>2</v>
      </c>
      <c r="D657" s="16">
        <v>440.02</v>
      </c>
      <c r="E657" s="17">
        <f t="shared" si="30"/>
        <v>220.01</v>
      </c>
      <c r="F657" s="18">
        <f t="shared" si="31"/>
        <v>8</v>
      </c>
      <c r="G657" s="18" t="str">
        <f t="shared" si="32"/>
        <v>Sem premiação</v>
      </c>
    </row>
    <row r="658" spans="2:7" ht="20.100000000000001" customHeight="1" x14ac:dyDescent="0.25">
      <c r="B658" s="14" t="s">
        <v>719</v>
      </c>
      <c r="C658" s="15">
        <v>2</v>
      </c>
      <c r="D658" s="16">
        <v>245.16</v>
      </c>
      <c r="E658" s="17">
        <f t="shared" si="30"/>
        <v>122.58</v>
      </c>
      <c r="F658" s="18">
        <f t="shared" si="31"/>
        <v>4</v>
      </c>
      <c r="G658" s="18" t="str">
        <f t="shared" si="32"/>
        <v>Sem premiação</v>
      </c>
    </row>
    <row r="659" spans="2:7" ht="20.100000000000001" customHeight="1" x14ac:dyDescent="0.25">
      <c r="B659" s="14" t="s">
        <v>720</v>
      </c>
      <c r="C659" s="15">
        <v>2</v>
      </c>
      <c r="D659" s="16">
        <v>220.97</v>
      </c>
      <c r="E659" s="17">
        <f t="shared" si="30"/>
        <v>110.485</v>
      </c>
      <c r="F659" s="18">
        <f t="shared" si="31"/>
        <v>4</v>
      </c>
      <c r="G659" s="18" t="str">
        <f t="shared" si="32"/>
        <v>Sem premiação</v>
      </c>
    </row>
    <row r="660" spans="2:7" ht="20.100000000000001" customHeight="1" x14ac:dyDescent="0.25">
      <c r="B660" s="14" t="s">
        <v>721</v>
      </c>
      <c r="C660" s="15">
        <v>2</v>
      </c>
      <c r="D660" s="16">
        <v>601.75</v>
      </c>
      <c r="E660" s="17">
        <f t="shared" si="30"/>
        <v>300.875</v>
      </c>
      <c r="F660" s="18">
        <f t="shared" si="31"/>
        <v>12</v>
      </c>
      <c r="G660" s="18" t="str">
        <f t="shared" si="32"/>
        <v>Sem premiação</v>
      </c>
    </row>
    <row r="661" spans="2:7" ht="20.100000000000001" customHeight="1" x14ac:dyDescent="0.25">
      <c r="B661" s="14" t="s">
        <v>722</v>
      </c>
      <c r="C661" s="15">
        <v>2</v>
      </c>
      <c r="D661" s="16">
        <v>348.48</v>
      </c>
      <c r="E661" s="17">
        <f t="shared" si="30"/>
        <v>174.24</v>
      </c>
      <c r="F661" s="18">
        <f t="shared" si="31"/>
        <v>6</v>
      </c>
      <c r="G661" s="18" t="str">
        <f t="shared" si="32"/>
        <v>Sem premiação</v>
      </c>
    </row>
    <row r="662" spans="2:7" ht="20.100000000000001" customHeight="1" x14ac:dyDescent="0.25">
      <c r="B662" s="14" t="s">
        <v>723</v>
      </c>
      <c r="C662" s="15">
        <v>2</v>
      </c>
      <c r="D662" s="16">
        <v>1014.07</v>
      </c>
      <c r="E662" s="17">
        <f t="shared" si="30"/>
        <v>507.03500000000003</v>
      </c>
      <c r="F662" s="18">
        <f t="shared" si="31"/>
        <v>20</v>
      </c>
      <c r="G662" s="18" t="str">
        <f t="shared" si="32"/>
        <v>Sem premiação</v>
      </c>
    </row>
    <row r="663" spans="2:7" ht="20.100000000000001" customHeight="1" x14ac:dyDescent="0.25">
      <c r="B663" s="14" t="s">
        <v>724</v>
      </c>
      <c r="C663" s="15">
        <v>2</v>
      </c>
      <c r="D663" s="16">
        <v>314.70999999999998</v>
      </c>
      <c r="E663" s="17">
        <f t="shared" si="30"/>
        <v>157.35499999999999</v>
      </c>
      <c r="F663" s="18">
        <f t="shared" si="31"/>
        <v>6</v>
      </c>
      <c r="G663" s="18" t="str">
        <f t="shared" si="32"/>
        <v>Sem premiação</v>
      </c>
    </row>
    <row r="664" spans="2:7" ht="20.100000000000001" customHeight="1" x14ac:dyDescent="0.25">
      <c r="B664" s="14" t="s">
        <v>725</v>
      </c>
      <c r="C664" s="15">
        <v>2</v>
      </c>
      <c r="D664" s="16">
        <v>247.71</v>
      </c>
      <c r="E664" s="17">
        <f t="shared" si="30"/>
        <v>123.855</v>
      </c>
      <c r="F664" s="18">
        <f t="shared" si="31"/>
        <v>4</v>
      </c>
      <c r="G664" s="18" t="str">
        <f t="shared" si="32"/>
        <v>Sem premiação</v>
      </c>
    </row>
    <row r="665" spans="2:7" ht="20.100000000000001" customHeight="1" x14ac:dyDescent="0.25">
      <c r="B665" s="14" t="s">
        <v>726</v>
      </c>
      <c r="C665" s="15">
        <v>2</v>
      </c>
      <c r="D665" s="16">
        <v>393.97</v>
      </c>
      <c r="E665" s="17">
        <f t="shared" si="30"/>
        <v>196.98500000000001</v>
      </c>
      <c r="F665" s="18">
        <f t="shared" si="31"/>
        <v>6</v>
      </c>
      <c r="G665" s="18" t="str">
        <f t="shared" si="32"/>
        <v>Sem premiação</v>
      </c>
    </row>
    <row r="666" spans="2:7" ht="20.100000000000001" customHeight="1" x14ac:dyDescent="0.25">
      <c r="B666" s="14" t="s">
        <v>727</v>
      </c>
      <c r="C666" s="15">
        <v>2</v>
      </c>
      <c r="D666" s="16">
        <v>178.81</v>
      </c>
      <c r="E666" s="17">
        <f t="shared" si="30"/>
        <v>89.405000000000001</v>
      </c>
      <c r="F666" s="18">
        <f t="shared" si="31"/>
        <v>2</v>
      </c>
      <c r="G666" s="18" t="str">
        <f t="shared" si="32"/>
        <v>Sem premiação</v>
      </c>
    </row>
    <row r="667" spans="2:7" ht="20.100000000000001" customHeight="1" x14ac:dyDescent="0.25">
      <c r="B667" s="14" t="s">
        <v>728</v>
      </c>
      <c r="C667" s="15">
        <v>2</v>
      </c>
      <c r="D667" s="16">
        <v>512.33000000000004</v>
      </c>
      <c r="E667" s="17">
        <f t="shared" si="30"/>
        <v>256.16500000000002</v>
      </c>
      <c r="F667" s="18">
        <f t="shared" si="31"/>
        <v>10</v>
      </c>
      <c r="G667" s="18" t="str">
        <f t="shared" si="32"/>
        <v>Sem premiação</v>
      </c>
    </row>
    <row r="668" spans="2:7" ht="20.100000000000001" customHeight="1" x14ac:dyDescent="0.25">
      <c r="B668" s="14" t="s">
        <v>729</v>
      </c>
      <c r="C668" s="15">
        <v>2</v>
      </c>
      <c r="D668" s="16">
        <v>197.61</v>
      </c>
      <c r="E668" s="17">
        <f t="shared" si="30"/>
        <v>98.805000000000007</v>
      </c>
      <c r="F668" s="18">
        <f t="shared" si="31"/>
        <v>2</v>
      </c>
      <c r="G668" s="18" t="str">
        <f t="shared" si="32"/>
        <v>Sem premiação</v>
      </c>
    </row>
    <row r="669" spans="2:7" ht="20.100000000000001" customHeight="1" x14ac:dyDescent="0.25">
      <c r="B669" s="14" t="s">
        <v>730</v>
      </c>
      <c r="C669" s="15">
        <v>2</v>
      </c>
      <c r="D669" s="16">
        <v>395.15</v>
      </c>
      <c r="E669" s="17">
        <f t="shared" si="30"/>
        <v>197.57499999999999</v>
      </c>
      <c r="F669" s="18">
        <f t="shared" si="31"/>
        <v>6</v>
      </c>
      <c r="G669" s="18" t="str">
        <f t="shared" si="32"/>
        <v>Sem premiação</v>
      </c>
    </row>
    <row r="670" spans="2:7" ht="20.100000000000001" customHeight="1" x14ac:dyDescent="0.25">
      <c r="B670" s="14" t="s">
        <v>731</v>
      </c>
      <c r="C670" s="15">
        <v>2</v>
      </c>
      <c r="D670" s="16">
        <v>281.67</v>
      </c>
      <c r="E670" s="17">
        <f t="shared" si="30"/>
        <v>140.83500000000001</v>
      </c>
      <c r="F670" s="18">
        <f t="shared" si="31"/>
        <v>4</v>
      </c>
      <c r="G670" s="18" t="str">
        <f t="shared" si="32"/>
        <v>Sem premiação</v>
      </c>
    </row>
    <row r="671" spans="2:7" ht="20.100000000000001" customHeight="1" x14ac:dyDescent="0.25">
      <c r="B671" s="14" t="s">
        <v>732</v>
      </c>
      <c r="C671" s="15">
        <v>2</v>
      </c>
      <c r="D671" s="16">
        <v>400</v>
      </c>
      <c r="E671" s="17">
        <f t="shared" si="30"/>
        <v>200</v>
      </c>
      <c r="F671" s="18">
        <f t="shared" si="31"/>
        <v>8</v>
      </c>
      <c r="G671" s="18" t="str">
        <f t="shared" si="32"/>
        <v>Sem premiação</v>
      </c>
    </row>
    <row r="672" spans="2:7" ht="20.100000000000001" customHeight="1" x14ac:dyDescent="0.25">
      <c r="B672" s="14" t="s">
        <v>733</v>
      </c>
      <c r="C672" s="15">
        <v>2</v>
      </c>
      <c r="D672" s="16">
        <v>171.31</v>
      </c>
      <c r="E672" s="17">
        <f t="shared" si="30"/>
        <v>85.655000000000001</v>
      </c>
      <c r="F672" s="18">
        <f t="shared" si="31"/>
        <v>2</v>
      </c>
      <c r="G672" s="18" t="str">
        <f t="shared" si="32"/>
        <v>Sem premiação</v>
      </c>
    </row>
    <row r="673" spans="2:7" ht="20.100000000000001" customHeight="1" x14ac:dyDescent="0.25">
      <c r="B673" s="14" t="s">
        <v>734</v>
      </c>
      <c r="C673" s="15">
        <v>2</v>
      </c>
      <c r="D673" s="16">
        <v>278.7</v>
      </c>
      <c r="E673" s="17">
        <f t="shared" si="30"/>
        <v>139.35</v>
      </c>
      <c r="F673" s="18">
        <f t="shared" si="31"/>
        <v>4</v>
      </c>
      <c r="G673" s="18" t="str">
        <f t="shared" si="32"/>
        <v>Sem premiação</v>
      </c>
    </row>
    <row r="674" spans="2:7" ht="20.100000000000001" customHeight="1" x14ac:dyDescent="0.25">
      <c r="B674" s="14" t="s">
        <v>735</v>
      </c>
      <c r="C674" s="15">
        <v>2</v>
      </c>
      <c r="D674" s="16">
        <v>280.8</v>
      </c>
      <c r="E674" s="17">
        <f t="shared" si="30"/>
        <v>140.4</v>
      </c>
      <c r="F674" s="18">
        <f t="shared" si="31"/>
        <v>4</v>
      </c>
      <c r="G674" s="18" t="str">
        <f t="shared" si="32"/>
        <v>Sem premiação</v>
      </c>
    </row>
    <row r="675" spans="2:7" ht="20.100000000000001" customHeight="1" x14ac:dyDescent="0.25">
      <c r="B675" s="14" t="s">
        <v>736</v>
      </c>
      <c r="C675" s="15">
        <v>2</v>
      </c>
      <c r="D675" s="16">
        <v>274.83</v>
      </c>
      <c r="E675" s="17">
        <f t="shared" si="30"/>
        <v>137.41499999999999</v>
      </c>
      <c r="F675" s="18">
        <f t="shared" si="31"/>
        <v>4</v>
      </c>
      <c r="G675" s="18" t="str">
        <f t="shared" si="32"/>
        <v>Sem premiação</v>
      </c>
    </row>
    <row r="676" spans="2:7" ht="20.100000000000001" customHeight="1" x14ac:dyDescent="0.25">
      <c r="B676" s="14" t="s">
        <v>737</v>
      </c>
      <c r="C676" s="15">
        <v>2</v>
      </c>
      <c r="D676" s="16">
        <v>155.80000000000001</v>
      </c>
      <c r="E676" s="17">
        <f t="shared" si="30"/>
        <v>77.900000000000006</v>
      </c>
      <c r="F676" s="18">
        <f t="shared" si="31"/>
        <v>2</v>
      </c>
      <c r="G676" s="18" t="str">
        <f t="shared" si="32"/>
        <v>Sem premiação</v>
      </c>
    </row>
    <row r="677" spans="2:7" ht="20.100000000000001" customHeight="1" x14ac:dyDescent="0.25">
      <c r="B677" s="14" t="s">
        <v>738</v>
      </c>
      <c r="C677" s="15">
        <v>2</v>
      </c>
      <c r="D677" s="16">
        <v>186.73</v>
      </c>
      <c r="E677" s="17">
        <f t="shared" si="30"/>
        <v>93.364999999999995</v>
      </c>
      <c r="F677" s="18">
        <f t="shared" si="31"/>
        <v>2</v>
      </c>
      <c r="G677" s="18" t="str">
        <f t="shared" si="32"/>
        <v>Sem premiação</v>
      </c>
    </row>
    <row r="678" spans="2:7" ht="20.100000000000001" customHeight="1" x14ac:dyDescent="0.25">
      <c r="B678" s="14" t="s">
        <v>739</v>
      </c>
      <c r="C678" s="15">
        <v>2</v>
      </c>
      <c r="D678" s="16">
        <v>118.62</v>
      </c>
      <c r="E678" s="17">
        <f t="shared" si="30"/>
        <v>59.31</v>
      </c>
      <c r="F678" s="18">
        <f t="shared" si="31"/>
        <v>2</v>
      </c>
      <c r="G678" s="18" t="str">
        <f t="shared" si="32"/>
        <v>Sem premiação</v>
      </c>
    </row>
    <row r="679" spans="2:7" ht="20.100000000000001" customHeight="1" x14ac:dyDescent="0.25">
      <c r="B679" s="14" t="s">
        <v>740</v>
      </c>
      <c r="C679" s="15">
        <v>2</v>
      </c>
      <c r="D679" s="16">
        <v>238.92</v>
      </c>
      <c r="E679" s="17">
        <f t="shared" si="30"/>
        <v>119.46</v>
      </c>
      <c r="F679" s="18">
        <f t="shared" si="31"/>
        <v>4</v>
      </c>
      <c r="G679" s="18" t="str">
        <f t="shared" si="32"/>
        <v>Sem premiação</v>
      </c>
    </row>
    <row r="680" spans="2:7" ht="20.100000000000001" customHeight="1" x14ac:dyDescent="0.25">
      <c r="B680" s="14" t="s">
        <v>741</v>
      </c>
      <c r="C680" s="15">
        <v>2</v>
      </c>
      <c r="D680" s="16">
        <v>183.8</v>
      </c>
      <c r="E680" s="17">
        <f t="shared" si="30"/>
        <v>91.9</v>
      </c>
      <c r="F680" s="18">
        <f t="shared" si="31"/>
        <v>2</v>
      </c>
      <c r="G680" s="18" t="str">
        <f t="shared" si="32"/>
        <v>Sem premiação</v>
      </c>
    </row>
    <row r="681" spans="2:7" ht="20.100000000000001" customHeight="1" x14ac:dyDescent="0.25">
      <c r="B681" s="14" t="s">
        <v>742</v>
      </c>
      <c r="C681" s="15">
        <v>2</v>
      </c>
      <c r="D681" s="16">
        <v>314.32</v>
      </c>
      <c r="E681" s="17">
        <f t="shared" si="30"/>
        <v>157.16</v>
      </c>
      <c r="F681" s="18">
        <f t="shared" si="31"/>
        <v>6</v>
      </c>
      <c r="G681" s="18" t="str">
        <f t="shared" si="32"/>
        <v>Sem premiação</v>
      </c>
    </row>
    <row r="682" spans="2:7" ht="20.100000000000001" customHeight="1" x14ac:dyDescent="0.25">
      <c r="B682" s="14" t="s">
        <v>743</v>
      </c>
      <c r="C682" s="15">
        <v>2</v>
      </c>
      <c r="D682" s="16">
        <v>222.8</v>
      </c>
      <c r="E682" s="17">
        <f t="shared" si="30"/>
        <v>111.4</v>
      </c>
      <c r="F682" s="18">
        <f t="shared" si="31"/>
        <v>4</v>
      </c>
      <c r="G682" s="18" t="str">
        <f t="shared" si="32"/>
        <v>Sem premiação</v>
      </c>
    </row>
    <row r="683" spans="2:7" ht="20.100000000000001" customHeight="1" x14ac:dyDescent="0.25">
      <c r="B683" s="14" t="s">
        <v>744</v>
      </c>
      <c r="C683" s="15">
        <v>2</v>
      </c>
      <c r="D683" s="16">
        <v>115</v>
      </c>
      <c r="E683" s="17">
        <f t="shared" si="30"/>
        <v>57.5</v>
      </c>
      <c r="F683" s="18">
        <f t="shared" si="31"/>
        <v>2</v>
      </c>
      <c r="G683" s="18" t="str">
        <f t="shared" si="32"/>
        <v>Sem premiação</v>
      </c>
    </row>
    <row r="684" spans="2:7" ht="20.100000000000001" customHeight="1" x14ac:dyDescent="0.25">
      <c r="B684" s="14" t="s">
        <v>745</v>
      </c>
      <c r="C684" s="15">
        <v>2</v>
      </c>
      <c r="D684" s="16">
        <v>167.91</v>
      </c>
      <c r="E684" s="17">
        <f t="shared" si="30"/>
        <v>83.954999999999998</v>
      </c>
      <c r="F684" s="18">
        <f t="shared" si="31"/>
        <v>2</v>
      </c>
      <c r="G684" s="18" t="str">
        <f t="shared" si="32"/>
        <v>Sem premiação</v>
      </c>
    </row>
    <row r="685" spans="2:7" ht="20.100000000000001" customHeight="1" x14ac:dyDescent="0.25">
      <c r="B685" s="14" t="s">
        <v>746</v>
      </c>
      <c r="C685" s="15">
        <v>2</v>
      </c>
      <c r="D685" s="16">
        <v>390.83</v>
      </c>
      <c r="E685" s="17">
        <f t="shared" si="30"/>
        <v>195.41499999999999</v>
      </c>
      <c r="F685" s="18">
        <f t="shared" si="31"/>
        <v>6</v>
      </c>
      <c r="G685" s="18" t="str">
        <f t="shared" si="32"/>
        <v>Sem premiação</v>
      </c>
    </row>
    <row r="686" spans="2:7" ht="20.100000000000001" customHeight="1" x14ac:dyDescent="0.25">
      <c r="B686" s="14" t="s">
        <v>747</v>
      </c>
      <c r="C686" s="15">
        <v>2</v>
      </c>
      <c r="D686" s="16">
        <v>308.39</v>
      </c>
      <c r="E686" s="17">
        <f t="shared" si="30"/>
        <v>154.19499999999999</v>
      </c>
      <c r="F686" s="18">
        <f t="shared" si="31"/>
        <v>6</v>
      </c>
      <c r="G686" s="18" t="str">
        <f t="shared" si="32"/>
        <v>Sem premiação</v>
      </c>
    </row>
    <row r="687" spans="2:7" ht="20.100000000000001" customHeight="1" x14ac:dyDescent="0.25">
      <c r="B687" s="14" t="s">
        <v>748</v>
      </c>
      <c r="C687" s="15">
        <v>2</v>
      </c>
      <c r="D687" s="16">
        <v>123.12</v>
      </c>
      <c r="E687" s="17">
        <f t="shared" si="30"/>
        <v>61.56</v>
      </c>
      <c r="F687" s="18">
        <f t="shared" si="31"/>
        <v>2</v>
      </c>
      <c r="G687" s="18" t="str">
        <f t="shared" si="32"/>
        <v>Sem premiação</v>
      </c>
    </row>
    <row r="688" spans="2:7" ht="20.100000000000001" customHeight="1" x14ac:dyDescent="0.25">
      <c r="B688" s="14" t="s">
        <v>749</v>
      </c>
      <c r="C688" s="15">
        <v>2</v>
      </c>
      <c r="D688" s="16">
        <v>250.97</v>
      </c>
      <c r="E688" s="17">
        <f t="shared" si="30"/>
        <v>125.485</v>
      </c>
      <c r="F688" s="18">
        <f t="shared" si="31"/>
        <v>4</v>
      </c>
      <c r="G688" s="18" t="str">
        <f t="shared" si="32"/>
        <v>Sem premiação</v>
      </c>
    </row>
    <row r="689" spans="2:7" ht="20.100000000000001" customHeight="1" x14ac:dyDescent="0.25">
      <c r="B689" s="14" t="s">
        <v>750</v>
      </c>
      <c r="C689" s="15">
        <v>2</v>
      </c>
      <c r="D689" s="16">
        <v>475.83</v>
      </c>
      <c r="E689" s="17">
        <f t="shared" si="30"/>
        <v>237.91499999999999</v>
      </c>
      <c r="F689" s="18">
        <f t="shared" si="31"/>
        <v>8</v>
      </c>
      <c r="G689" s="18" t="str">
        <f t="shared" si="32"/>
        <v>Sem premiação</v>
      </c>
    </row>
    <row r="690" spans="2:7" ht="20.100000000000001" customHeight="1" x14ac:dyDescent="0.25">
      <c r="B690" s="14" t="s">
        <v>751</v>
      </c>
      <c r="C690" s="15">
        <v>2</v>
      </c>
      <c r="D690" s="16">
        <v>197.42</v>
      </c>
      <c r="E690" s="17">
        <f t="shared" si="30"/>
        <v>98.71</v>
      </c>
      <c r="F690" s="18">
        <f t="shared" si="31"/>
        <v>2</v>
      </c>
      <c r="G690" s="18" t="str">
        <f t="shared" si="32"/>
        <v>Sem premiação</v>
      </c>
    </row>
    <row r="691" spans="2:7" ht="20.100000000000001" customHeight="1" x14ac:dyDescent="0.25">
      <c r="B691" s="14" t="s">
        <v>752</v>
      </c>
      <c r="C691" s="15">
        <v>2</v>
      </c>
      <c r="D691" s="16">
        <v>211.86</v>
      </c>
      <c r="E691" s="17">
        <f t="shared" si="30"/>
        <v>105.93</v>
      </c>
      <c r="F691" s="18">
        <f t="shared" si="31"/>
        <v>4</v>
      </c>
      <c r="G691" s="18" t="str">
        <f t="shared" si="32"/>
        <v>Sem premiação</v>
      </c>
    </row>
    <row r="692" spans="2:7" ht="20.100000000000001" customHeight="1" x14ac:dyDescent="0.25">
      <c r="B692" s="14" t="s">
        <v>753</v>
      </c>
      <c r="C692" s="15">
        <v>2</v>
      </c>
      <c r="D692" s="16">
        <v>205.97</v>
      </c>
      <c r="E692" s="17">
        <f t="shared" si="30"/>
        <v>102.985</v>
      </c>
      <c r="F692" s="18">
        <f t="shared" si="31"/>
        <v>4</v>
      </c>
      <c r="G692" s="18" t="str">
        <f t="shared" si="32"/>
        <v>Sem premiação</v>
      </c>
    </row>
    <row r="693" spans="2:7" ht="20.100000000000001" customHeight="1" x14ac:dyDescent="0.25">
      <c r="B693" s="14" t="s">
        <v>754</v>
      </c>
      <c r="C693" s="15">
        <v>2</v>
      </c>
      <c r="D693" s="16">
        <v>271.33</v>
      </c>
      <c r="E693" s="17">
        <f t="shared" si="30"/>
        <v>135.66499999999999</v>
      </c>
      <c r="F693" s="18">
        <f t="shared" si="31"/>
        <v>4</v>
      </c>
      <c r="G693" s="18" t="str">
        <f t="shared" si="32"/>
        <v>Sem premiação</v>
      </c>
    </row>
    <row r="694" spans="2:7" ht="20.100000000000001" customHeight="1" x14ac:dyDescent="0.25">
      <c r="B694" s="14" t="s">
        <v>755</v>
      </c>
      <c r="C694" s="15">
        <v>2</v>
      </c>
      <c r="D694" s="16">
        <v>533.78</v>
      </c>
      <c r="E694" s="17">
        <f t="shared" si="30"/>
        <v>266.89</v>
      </c>
      <c r="F694" s="18">
        <f t="shared" si="31"/>
        <v>10</v>
      </c>
      <c r="G694" s="18" t="str">
        <f t="shared" si="32"/>
        <v>Sem premiação</v>
      </c>
    </row>
    <row r="695" spans="2:7" ht="20.100000000000001" customHeight="1" x14ac:dyDescent="0.25">
      <c r="B695" s="14" t="s">
        <v>756</v>
      </c>
      <c r="C695" s="15">
        <v>2</v>
      </c>
      <c r="D695" s="16">
        <v>250.02</v>
      </c>
      <c r="E695" s="17">
        <f t="shared" si="30"/>
        <v>125.01</v>
      </c>
      <c r="F695" s="18">
        <f t="shared" si="31"/>
        <v>4</v>
      </c>
      <c r="G695" s="18" t="str">
        <f t="shared" si="32"/>
        <v>Sem premiação</v>
      </c>
    </row>
    <row r="696" spans="2:7" ht="20.100000000000001" customHeight="1" x14ac:dyDescent="0.25">
      <c r="B696" s="14" t="s">
        <v>757</v>
      </c>
      <c r="C696" s="15">
        <v>2</v>
      </c>
      <c r="D696" s="16">
        <v>189.58</v>
      </c>
      <c r="E696" s="17">
        <f t="shared" si="30"/>
        <v>94.79</v>
      </c>
      <c r="F696" s="18">
        <f t="shared" si="31"/>
        <v>2</v>
      </c>
      <c r="G696" s="18" t="str">
        <f t="shared" si="32"/>
        <v>Sem premiação</v>
      </c>
    </row>
    <row r="697" spans="2:7" ht="20.100000000000001" customHeight="1" x14ac:dyDescent="0.25">
      <c r="B697" s="14" t="s">
        <v>758</v>
      </c>
      <c r="C697" s="15">
        <v>2</v>
      </c>
      <c r="D697" s="16">
        <v>220.43</v>
      </c>
      <c r="E697" s="17">
        <f t="shared" si="30"/>
        <v>110.215</v>
      </c>
      <c r="F697" s="18">
        <f t="shared" si="31"/>
        <v>4</v>
      </c>
      <c r="G697" s="18" t="str">
        <f t="shared" si="32"/>
        <v>Sem premiação</v>
      </c>
    </row>
    <row r="698" spans="2:7" ht="20.100000000000001" customHeight="1" x14ac:dyDescent="0.25">
      <c r="B698" s="14" t="s">
        <v>759</v>
      </c>
      <c r="C698" s="15">
        <v>2</v>
      </c>
      <c r="D698" s="16">
        <v>215.82</v>
      </c>
      <c r="E698" s="17">
        <f t="shared" si="30"/>
        <v>107.91</v>
      </c>
      <c r="F698" s="18">
        <f t="shared" si="31"/>
        <v>4</v>
      </c>
      <c r="G698" s="18" t="str">
        <f t="shared" si="32"/>
        <v>Sem premiação</v>
      </c>
    </row>
    <row r="699" spans="2:7" ht="20.100000000000001" customHeight="1" x14ac:dyDescent="0.25">
      <c r="B699" s="14" t="s">
        <v>760</v>
      </c>
      <c r="C699" s="15">
        <v>2</v>
      </c>
      <c r="D699" s="16">
        <v>341.53</v>
      </c>
      <c r="E699" s="17">
        <f t="shared" si="30"/>
        <v>170.76499999999999</v>
      </c>
      <c r="F699" s="18">
        <f t="shared" si="31"/>
        <v>6</v>
      </c>
      <c r="G699" s="18" t="str">
        <f t="shared" si="32"/>
        <v>Sem premiação</v>
      </c>
    </row>
    <row r="700" spans="2:7" ht="20.100000000000001" customHeight="1" x14ac:dyDescent="0.25">
      <c r="B700" s="14" t="s">
        <v>761</v>
      </c>
      <c r="C700" s="15">
        <v>2</v>
      </c>
      <c r="D700" s="16">
        <v>163.31</v>
      </c>
      <c r="E700" s="17">
        <f t="shared" si="30"/>
        <v>81.655000000000001</v>
      </c>
      <c r="F700" s="18">
        <f t="shared" si="31"/>
        <v>2</v>
      </c>
      <c r="G700" s="18" t="str">
        <f t="shared" si="32"/>
        <v>Sem premiação</v>
      </c>
    </row>
    <row r="701" spans="2:7" ht="20.100000000000001" customHeight="1" x14ac:dyDescent="0.25">
      <c r="B701" s="14" t="s">
        <v>762</v>
      </c>
      <c r="C701" s="15">
        <v>2</v>
      </c>
      <c r="D701" s="16">
        <v>142.53</v>
      </c>
      <c r="E701" s="17">
        <f t="shared" si="30"/>
        <v>71.265000000000001</v>
      </c>
      <c r="F701" s="18">
        <f t="shared" si="31"/>
        <v>2</v>
      </c>
      <c r="G701" s="18" t="str">
        <f t="shared" si="32"/>
        <v>Sem premiação</v>
      </c>
    </row>
    <row r="702" spans="2:7" ht="20.100000000000001" customHeight="1" x14ac:dyDescent="0.25">
      <c r="B702" s="14" t="s">
        <v>763</v>
      </c>
      <c r="C702" s="15">
        <v>2</v>
      </c>
      <c r="D702" s="16">
        <v>135.11000000000001</v>
      </c>
      <c r="E702" s="17">
        <f t="shared" si="30"/>
        <v>67.555000000000007</v>
      </c>
      <c r="F702" s="18">
        <f t="shared" si="31"/>
        <v>2</v>
      </c>
      <c r="G702" s="18" t="str">
        <f t="shared" si="32"/>
        <v>Sem premiação</v>
      </c>
    </row>
    <row r="703" spans="2:7" ht="20.100000000000001" customHeight="1" x14ac:dyDescent="0.25">
      <c r="B703" s="14" t="s">
        <v>764</v>
      </c>
      <c r="C703" s="15">
        <v>2</v>
      </c>
      <c r="D703" s="16">
        <v>199.62</v>
      </c>
      <c r="E703" s="17">
        <f t="shared" si="30"/>
        <v>99.81</v>
      </c>
      <c r="F703" s="18">
        <f t="shared" si="31"/>
        <v>2</v>
      </c>
      <c r="G703" s="18" t="str">
        <f t="shared" si="32"/>
        <v>Sem premiação</v>
      </c>
    </row>
    <row r="704" spans="2:7" ht="20.100000000000001" customHeight="1" x14ac:dyDescent="0.25">
      <c r="B704" s="14" t="s">
        <v>765</v>
      </c>
      <c r="C704" s="15">
        <v>2</v>
      </c>
      <c r="D704" s="16">
        <v>209.9</v>
      </c>
      <c r="E704" s="17">
        <f t="shared" si="30"/>
        <v>104.95</v>
      </c>
      <c r="F704" s="18">
        <f t="shared" si="31"/>
        <v>4</v>
      </c>
      <c r="G704" s="18" t="str">
        <f t="shared" si="32"/>
        <v>Sem premiação</v>
      </c>
    </row>
    <row r="705" spans="2:7" ht="20.100000000000001" customHeight="1" x14ac:dyDescent="0.25">
      <c r="B705" s="14" t="s">
        <v>766</v>
      </c>
      <c r="C705" s="15">
        <v>2</v>
      </c>
      <c r="D705" s="16">
        <v>378.31</v>
      </c>
      <c r="E705" s="17">
        <f t="shared" si="30"/>
        <v>189.155</v>
      </c>
      <c r="F705" s="18">
        <f t="shared" si="31"/>
        <v>6</v>
      </c>
      <c r="G705" s="18" t="str">
        <f t="shared" si="32"/>
        <v>Sem premiação</v>
      </c>
    </row>
    <row r="706" spans="2:7" ht="20.100000000000001" customHeight="1" x14ac:dyDescent="0.25">
      <c r="B706" s="14" t="s">
        <v>767</v>
      </c>
      <c r="C706" s="15">
        <v>2</v>
      </c>
      <c r="D706" s="16">
        <v>190.67</v>
      </c>
      <c r="E706" s="17">
        <f t="shared" si="30"/>
        <v>95.334999999999994</v>
      </c>
      <c r="F706" s="18">
        <f t="shared" si="31"/>
        <v>2</v>
      </c>
      <c r="G706" s="18" t="str">
        <f t="shared" si="32"/>
        <v>Sem premiação</v>
      </c>
    </row>
    <row r="707" spans="2:7" ht="20.100000000000001" customHeight="1" x14ac:dyDescent="0.25">
      <c r="B707" s="14" t="s">
        <v>768</v>
      </c>
      <c r="C707" s="15">
        <v>2</v>
      </c>
      <c r="D707" s="16">
        <v>445.98</v>
      </c>
      <c r="E707" s="17">
        <f t="shared" si="30"/>
        <v>222.99</v>
      </c>
      <c r="F707" s="18">
        <f t="shared" si="31"/>
        <v>8</v>
      </c>
      <c r="G707" s="18" t="str">
        <f t="shared" si="32"/>
        <v>Sem premiação</v>
      </c>
    </row>
    <row r="708" spans="2:7" ht="20.100000000000001" customHeight="1" x14ac:dyDescent="0.25">
      <c r="B708" s="14" t="s">
        <v>769</v>
      </c>
      <c r="C708" s="15">
        <v>2</v>
      </c>
      <c r="D708" s="16">
        <v>194.51</v>
      </c>
      <c r="E708" s="17">
        <f t="shared" ref="E708:E771" si="33">D708/C708</f>
        <v>97.254999999999995</v>
      </c>
      <c r="F708" s="18">
        <f t="shared" ref="F708:F771" si="34">IFERROR(C708*_xlfn.XLOOKUP(E708,$J$4:$J$13,$K$4:$K$13,0,-1),0)</f>
        <v>2</v>
      </c>
      <c r="G708" s="18" t="str">
        <f t="shared" ref="G708:G771" si="35">IFERROR(VLOOKUP(F708,$J$16:$K$19,2,TRUE),"SEM PREMIAÇÃO")</f>
        <v>Sem premiação</v>
      </c>
    </row>
    <row r="709" spans="2:7" ht="20.100000000000001" customHeight="1" x14ac:dyDescent="0.25">
      <c r="B709" s="14" t="s">
        <v>770</v>
      </c>
      <c r="C709" s="15">
        <v>2</v>
      </c>
      <c r="D709" s="16">
        <v>464.57</v>
      </c>
      <c r="E709" s="17">
        <f t="shared" si="33"/>
        <v>232.285</v>
      </c>
      <c r="F709" s="18">
        <f t="shared" si="34"/>
        <v>8</v>
      </c>
      <c r="G709" s="18" t="str">
        <f t="shared" si="35"/>
        <v>Sem premiação</v>
      </c>
    </row>
    <row r="710" spans="2:7" ht="20.100000000000001" customHeight="1" x14ac:dyDescent="0.25">
      <c r="B710" s="14" t="s">
        <v>771</v>
      </c>
      <c r="C710" s="15">
        <v>2</v>
      </c>
      <c r="D710" s="16">
        <v>167.22</v>
      </c>
      <c r="E710" s="17">
        <f t="shared" si="33"/>
        <v>83.61</v>
      </c>
      <c r="F710" s="18">
        <f t="shared" si="34"/>
        <v>2</v>
      </c>
      <c r="G710" s="18" t="str">
        <f t="shared" si="35"/>
        <v>Sem premiação</v>
      </c>
    </row>
    <row r="711" spans="2:7" ht="20.100000000000001" customHeight="1" x14ac:dyDescent="0.25">
      <c r="B711" s="14" t="s">
        <v>772</v>
      </c>
      <c r="C711" s="15">
        <v>2</v>
      </c>
      <c r="D711" s="16">
        <v>295.92</v>
      </c>
      <c r="E711" s="17">
        <f t="shared" si="33"/>
        <v>147.96</v>
      </c>
      <c r="F711" s="18">
        <f t="shared" si="34"/>
        <v>4</v>
      </c>
      <c r="G711" s="18" t="str">
        <f t="shared" si="35"/>
        <v>Sem premiação</v>
      </c>
    </row>
    <row r="712" spans="2:7" ht="20.100000000000001" customHeight="1" x14ac:dyDescent="0.25">
      <c r="B712" s="14" t="s">
        <v>773</v>
      </c>
      <c r="C712" s="15">
        <v>2</v>
      </c>
      <c r="D712" s="16">
        <v>330.11</v>
      </c>
      <c r="E712" s="17">
        <f t="shared" si="33"/>
        <v>165.05500000000001</v>
      </c>
      <c r="F712" s="18">
        <f t="shared" si="34"/>
        <v>6</v>
      </c>
      <c r="G712" s="18" t="str">
        <f t="shared" si="35"/>
        <v>Sem premiação</v>
      </c>
    </row>
    <row r="713" spans="2:7" ht="20.100000000000001" customHeight="1" x14ac:dyDescent="0.25">
      <c r="B713" s="14" t="s">
        <v>774</v>
      </c>
      <c r="C713" s="15">
        <v>2</v>
      </c>
      <c r="D713" s="16">
        <v>370.08</v>
      </c>
      <c r="E713" s="17">
        <f t="shared" si="33"/>
        <v>185.04</v>
      </c>
      <c r="F713" s="18">
        <f t="shared" si="34"/>
        <v>6</v>
      </c>
      <c r="G713" s="18" t="str">
        <f t="shared" si="35"/>
        <v>Sem premiação</v>
      </c>
    </row>
    <row r="714" spans="2:7" ht="20.100000000000001" customHeight="1" x14ac:dyDescent="0.25">
      <c r="B714" s="14" t="s">
        <v>775</v>
      </c>
      <c r="C714" s="15">
        <v>2</v>
      </c>
      <c r="D714" s="16">
        <v>208.62</v>
      </c>
      <c r="E714" s="17">
        <f t="shared" si="33"/>
        <v>104.31</v>
      </c>
      <c r="F714" s="18">
        <f t="shared" si="34"/>
        <v>4</v>
      </c>
      <c r="G714" s="18" t="str">
        <f t="shared" si="35"/>
        <v>Sem premiação</v>
      </c>
    </row>
    <row r="715" spans="2:7" ht="20.100000000000001" customHeight="1" x14ac:dyDescent="0.25">
      <c r="B715" s="14" t="s">
        <v>776</v>
      </c>
      <c r="C715" s="15">
        <v>2</v>
      </c>
      <c r="D715" s="16">
        <v>182.51</v>
      </c>
      <c r="E715" s="17">
        <f t="shared" si="33"/>
        <v>91.254999999999995</v>
      </c>
      <c r="F715" s="18">
        <f t="shared" si="34"/>
        <v>2</v>
      </c>
      <c r="G715" s="18" t="str">
        <f t="shared" si="35"/>
        <v>Sem premiação</v>
      </c>
    </row>
    <row r="716" spans="2:7" ht="20.100000000000001" customHeight="1" x14ac:dyDescent="0.25">
      <c r="B716" s="14" t="s">
        <v>777</v>
      </c>
      <c r="C716" s="15">
        <v>2</v>
      </c>
      <c r="D716" s="16">
        <v>164.52</v>
      </c>
      <c r="E716" s="17">
        <f t="shared" si="33"/>
        <v>82.26</v>
      </c>
      <c r="F716" s="18">
        <f t="shared" si="34"/>
        <v>2</v>
      </c>
      <c r="G716" s="18" t="str">
        <f t="shared" si="35"/>
        <v>Sem premiação</v>
      </c>
    </row>
    <row r="717" spans="2:7" ht="20.100000000000001" customHeight="1" x14ac:dyDescent="0.25">
      <c r="B717" s="14" t="s">
        <v>778</v>
      </c>
      <c r="C717" s="15">
        <v>2</v>
      </c>
      <c r="D717" s="16">
        <v>544.77</v>
      </c>
      <c r="E717" s="17">
        <f t="shared" si="33"/>
        <v>272.38499999999999</v>
      </c>
      <c r="F717" s="18">
        <f t="shared" si="34"/>
        <v>10</v>
      </c>
      <c r="G717" s="18" t="str">
        <f t="shared" si="35"/>
        <v>Sem premiação</v>
      </c>
    </row>
    <row r="718" spans="2:7" ht="20.100000000000001" customHeight="1" x14ac:dyDescent="0.25">
      <c r="B718" s="14" t="s">
        <v>779</v>
      </c>
      <c r="C718" s="15">
        <v>2</v>
      </c>
      <c r="D718" s="16">
        <v>625.27</v>
      </c>
      <c r="E718" s="17">
        <f t="shared" si="33"/>
        <v>312.63499999999999</v>
      </c>
      <c r="F718" s="18">
        <f t="shared" si="34"/>
        <v>12</v>
      </c>
      <c r="G718" s="18" t="str">
        <f t="shared" si="35"/>
        <v>Sem premiação</v>
      </c>
    </row>
    <row r="719" spans="2:7" ht="20.100000000000001" customHeight="1" x14ac:dyDescent="0.25">
      <c r="B719" s="14" t="s">
        <v>780</v>
      </c>
      <c r="C719" s="15">
        <v>2</v>
      </c>
      <c r="D719" s="16">
        <v>445.98</v>
      </c>
      <c r="E719" s="17">
        <f t="shared" si="33"/>
        <v>222.99</v>
      </c>
      <c r="F719" s="18">
        <f t="shared" si="34"/>
        <v>8</v>
      </c>
      <c r="G719" s="18" t="str">
        <f t="shared" si="35"/>
        <v>Sem premiação</v>
      </c>
    </row>
    <row r="720" spans="2:7" ht="20.100000000000001" customHeight="1" x14ac:dyDescent="0.25">
      <c r="B720" s="14" t="s">
        <v>781</v>
      </c>
      <c r="C720" s="15">
        <v>2</v>
      </c>
      <c r="D720" s="16">
        <v>876.31</v>
      </c>
      <c r="E720" s="17">
        <f t="shared" si="33"/>
        <v>438.15499999999997</v>
      </c>
      <c r="F720" s="18">
        <f t="shared" si="34"/>
        <v>16</v>
      </c>
      <c r="G720" s="18" t="str">
        <f t="shared" si="35"/>
        <v>Sem premiação</v>
      </c>
    </row>
    <row r="721" spans="2:7" ht="20.100000000000001" customHeight="1" x14ac:dyDescent="0.25">
      <c r="B721" s="14" t="s">
        <v>782</v>
      </c>
      <c r="C721" s="15">
        <v>2</v>
      </c>
      <c r="D721" s="16">
        <v>259.77</v>
      </c>
      <c r="E721" s="17">
        <f t="shared" si="33"/>
        <v>129.88499999999999</v>
      </c>
      <c r="F721" s="18">
        <f t="shared" si="34"/>
        <v>4</v>
      </c>
      <c r="G721" s="18" t="str">
        <f t="shared" si="35"/>
        <v>Sem premiação</v>
      </c>
    </row>
    <row r="722" spans="2:7" ht="20.100000000000001" customHeight="1" x14ac:dyDescent="0.25">
      <c r="B722" s="14" t="s">
        <v>783</v>
      </c>
      <c r="C722" s="15">
        <v>2</v>
      </c>
      <c r="D722" s="16">
        <v>352.73</v>
      </c>
      <c r="E722" s="17">
        <f t="shared" si="33"/>
        <v>176.36500000000001</v>
      </c>
      <c r="F722" s="18">
        <f t="shared" si="34"/>
        <v>6</v>
      </c>
      <c r="G722" s="18" t="str">
        <f t="shared" si="35"/>
        <v>Sem premiação</v>
      </c>
    </row>
    <row r="723" spans="2:7" ht="20.100000000000001" customHeight="1" x14ac:dyDescent="0.25">
      <c r="B723" s="14" t="s">
        <v>784</v>
      </c>
      <c r="C723" s="15">
        <v>2</v>
      </c>
      <c r="D723" s="16">
        <v>119.8</v>
      </c>
      <c r="E723" s="17">
        <f t="shared" si="33"/>
        <v>59.9</v>
      </c>
      <c r="F723" s="18">
        <f t="shared" si="34"/>
        <v>2</v>
      </c>
      <c r="G723" s="18" t="str">
        <f t="shared" si="35"/>
        <v>Sem premiação</v>
      </c>
    </row>
    <row r="724" spans="2:7" ht="20.100000000000001" customHeight="1" x14ac:dyDescent="0.25">
      <c r="B724" s="14" t="s">
        <v>785</v>
      </c>
      <c r="C724" s="15">
        <v>2</v>
      </c>
      <c r="D724" s="16">
        <v>661.57</v>
      </c>
      <c r="E724" s="17">
        <f t="shared" si="33"/>
        <v>330.78500000000003</v>
      </c>
      <c r="F724" s="18">
        <f t="shared" si="34"/>
        <v>12</v>
      </c>
      <c r="G724" s="18" t="str">
        <f t="shared" si="35"/>
        <v>Sem premiação</v>
      </c>
    </row>
    <row r="725" spans="2:7" ht="20.100000000000001" customHeight="1" x14ac:dyDescent="0.25">
      <c r="B725" s="14" t="s">
        <v>786</v>
      </c>
      <c r="C725" s="15">
        <v>2</v>
      </c>
      <c r="D725" s="16">
        <v>443.67</v>
      </c>
      <c r="E725" s="17">
        <f t="shared" si="33"/>
        <v>221.83500000000001</v>
      </c>
      <c r="F725" s="18">
        <f t="shared" si="34"/>
        <v>8</v>
      </c>
      <c r="G725" s="18" t="str">
        <f t="shared" si="35"/>
        <v>Sem premiação</v>
      </c>
    </row>
    <row r="726" spans="2:7" ht="20.100000000000001" customHeight="1" x14ac:dyDescent="0.25">
      <c r="B726" s="14" t="s">
        <v>787</v>
      </c>
      <c r="C726" s="15">
        <v>2</v>
      </c>
      <c r="D726" s="16">
        <v>221.58</v>
      </c>
      <c r="E726" s="17">
        <f t="shared" si="33"/>
        <v>110.79</v>
      </c>
      <c r="F726" s="18">
        <f t="shared" si="34"/>
        <v>4</v>
      </c>
      <c r="G726" s="18" t="str">
        <f t="shared" si="35"/>
        <v>Sem premiação</v>
      </c>
    </row>
    <row r="727" spans="2:7" ht="20.100000000000001" customHeight="1" x14ac:dyDescent="0.25">
      <c r="B727" s="14" t="s">
        <v>788</v>
      </c>
      <c r="C727" s="15">
        <v>2</v>
      </c>
      <c r="D727" s="16">
        <v>159.80000000000001</v>
      </c>
      <c r="E727" s="17">
        <f t="shared" si="33"/>
        <v>79.900000000000006</v>
      </c>
      <c r="F727" s="18">
        <f t="shared" si="34"/>
        <v>2</v>
      </c>
      <c r="G727" s="18" t="str">
        <f t="shared" si="35"/>
        <v>Sem premiação</v>
      </c>
    </row>
    <row r="728" spans="2:7" ht="20.100000000000001" customHeight="1" x14ac:dyDescent="0.25">
      <c r="B728" s="14" t="s">
        <v>789</v>
      </c>
      <c r="C728" s="15">
        <v>2</v>
      </c>
      <c r="D728" s="16">
        <v>197.61</v>
      </c>
      <c r="E728" s="17">
        <f t="shared" si="33"/>
        <v>98.805000000000007</v>
      </c>
      <c r="F728" s="18">
        <f t="shared" si="34"/>
        <v>2</v>
      </c>
      <c r="G728" s="18" t="str">
        <f t="shared" si="35"/>
        <v>Sem premiação</v>
      </c>
    </row>
    <row r="729" spans="2:7" ht="20.100000000000001" customHeight="1" x14ac:dyDescent="0.25">
      <c r="B729" s="14" t="s">
        <v>790</v>
      </c>
      <c r="C729" s="15">
        <v>2</v>
      </c>
      <c r="D729" s="16">
        <v>142.91999999999999</v>
      </c>
      <c r="E729" s="17">
        <f t="shared" si="33"/>
        <v>71.459999999999994</v>
      </c>
      <c r="F729" s="18">
        <f t="shared" si="34"/>
        <v>2</v>
      </c>
      <c r="G729" s="18" t="str">
        <f t="shared" si="35"/>
        <v>Sem premiação</v>
      </c>
    </row>
    <row r="730" spans="2:7" ht="20.100000000000001" customHeight="1" x14ac:dyDescent="0.25">
      <c r="B730" s="14" t="s">
        <v>791</v>
      </c>
      <c r="C730" s="15">
        <v>2</v>
      </c>
      <c r="D730" s="16">
        <v>889.84</v>
      </c>
      <c r="E730" s="17">
        <f t="shared" si="33"/>
        <v>444.92</v>
      </c>
      <c r="F730" s="18">
        <f t="shared" si="34"/>
        <v>16</v>
      </c>
      <c r="G730" s="18" t="str">
        <f t="shared" si="35"/>
        <v>Sem premiação</v>
      </c>
    </row>
    <row r="731" spans="2:7" ht="20.100000000000001" customHeight="1" x14ac:dyDescent="0.25">
      <c r="B731" s="14" t="s">
        <v>792</v>
      </c>
      <c r="C731" s="15">
        <v>2</v>
      </c>
      <c r="D731" s="16">
        <v>308.39</v>
      </c>
      <c r="E731" s="17">
        <f t="shared" si="33"/>
        <v>154.19499999999999</v>
      </c>
      <c r="F731" s="18">
        <f t="shared" si="34"/>
        <v>6</v>
      </c>
      <c r="G731" s="18" t="str">
        <f t="shared" si="35"/>
        <v>Sem premiação</v>
      </c>
    </row>
    <row r="732" spans="2:7" ht="20.100000000000001" customHeight="1" x14ac:dyDescent="0.25">
      <c r="B732" s="14" t="s">
        <v>793</v>
      </c>
      <c r="C732" s="15">
        <v>2</v>
      </c>
      <c r="D732" s="16">
        <v>195.12</v>
      </c>
      <c r="E732" s="17">
        <f t="shared" si="33"/>
        <v>97.56</v>
      </c>
      <c r="F732" s="18">
        <f t="shared" si="34"/>
        <v>2</v>
      </c>
      <c r="G732" s="18" t="str">
        <f t="shared" si="35"/>
        <v>Sem premiação</v>
      </c>
    </row>
    <row r="733" spans="2:7" ht="20.100000000000001" customHeight="1" x14ac:dyDescent="0.25">
      <c r="B733" s="14" t="s">
        <v>794</v>
      </c>
      <c r="C733" s="15">
        <v>2</v>
      </c>
      <c r="D733" s="16">
        <v>191.31</v>
      </c>
      <c r="E733" s="17">
        <f t="shared" si="33"/>
        <v>95.655000000000001</v>
      </c>
      <c r="F733" s="18">
        <f t="shared" si="34"/>
        <v>2</v>
      </c>
      <c r="G733" s="18" t="str">
        <f t="shared" si="35"/>
        <v>Sem premiação</v>
      </c>
    </row>
    <row r="734" spans="2:7" ht="20.100000000000001" customHeight="1" x14ac:dyDescent="0.25">
      <c r="B734" s="14" t="s">
        <v>795</v>
      </c>
      <c r="C734" s="15">
        <v>2</v>
      </c>
      <c r="D734" s="16">
        <v>291.87</v>
      </c>
      <c r="E734" s="17">
        <f t="shared" si="33"/>
        <v>145.935</v>
      </c>
      <c r="F734" s="18">
        <f t="shared" si="34"/>
        <v>4</v>
      </c>
      <c r="G734" s="18" t="str">
        <f t="shared" si="35"/>
        <v>Sem premiação</v>
      </c>
    </row>
    <row r="735" spans="2:7" ht="20.100000000000001" customHeight="1" x14ac:dyDescent="0.25">
      <c r="B735" s="14" t="s">
        <v>796</v>
      </c>
      <c r="C735" s="15">
        <v>2</v>
      </c>
      <c r="D735" s="16">
        <v>389.67</v>
      </c>
      <c r="E735" s="17">
        <f t="shared" si="33"/>
        <v>194.83500000000001</v>
      </c>
      <c r="F735" s="18">
        <f t="shared" si="34"/>
        <v>6</v>
      </c>
      <c r="G735" s="18" t="str">
        <f t="shared" si="35"/>
        <v>Sem premiação</v>
      </c>
    </row>
    <row r="736" spans="2:7" ht="20.100000000000001" customHeight="1" x14ac:dyDescent="0.25">
      <c r="B736" s="14" t="s">
        <v>797</v>
      </c>
      <c r="C736" s="15">
        <v>2</v>
      </c>
      <c r="D736" s="16">
        <v>268.61</v>
      </c>
      <c r="E736" s="17">
        <f t="shared" si="33"/>
        <v>134.30500000000001</v>
      </c>
      <c r="F736" s="18">
        <f t="shared" si="34"/>
        <v>4</v>
      </c>
      <c r="G736" s="18" t="str">
        <f t="shared" si="35"/>
        <v>Sem premiação</v>
      </c>
    </row>
    <row r="737" spans="2:7" ht="20.100000000000001" customHeight="1" x14ac:dyDescent="0.25">
      <c r="B737" s="14" t="s">
        <v>798</v>
      </c>
      <c r="C737" s="15">
        <v>2</v>
      </c>
      <c r="D737" s="16">
        <v>151.52000000000001</v>
      </c>
      <c r="E737" s="17">
        <f t="shared" si="33"/>
        <v>75.760000000000005</v>
      </c>
      <c r="F737" s="18">
        <f t="shared" si="34"/>
        <v>2</v>
      </c>
      <c r="G737" s="18" t="str">
        <f t="shared" si="35"/>
        <v>Sem premiação</v>
      </c>
    </row>
    <row r="738" spans="2:7" ht="20.100000000000001" customHeight="1" x14ac:dyDescent="0.25">
      <c r="B738" s="14" t="s">
        <v>799</v>
      </c>
      <c r="C738" s="15">
        <v>2</v>
      </c>
      <c r="D738" s="16">
        <v>711.56</v>
      </c>
      <c r="E738" s="17">
        <f t="shared" si="33"/>
        <v>355.78</v>
      </c>
      <c r="F738" s="18">
        <f t="shared" si="34"/>
        <v>14</v>
      </c>
      <c r="G738" s="18" t="str">
        <f t="shared" si="35"/>
        <v>Sem premiação</v>
      </c>
    </row>
    <row r="739" spans="2:7" ht="20.100000000000001" customHeight="1" x14ac:dyDescent="0.25">
      <c r="B739" s="14" t="s">
        <v>800</v>
      </c>
      <c r="C739" s="15">
        <v>2</v>
      </c>
      <c r="D739" s="16">
        <v>497.18</v>
      </c>
      <c r="E739" s="17">
        <f t="shared" si="33"/>
        <v>248.59</v>
      </c>
      <c r="F739" s="18">
        <f t="shared" si="34"/>
        <v>8</v>
      </c>
      <c r="G739" s="18" t="str">
        <f t="shared" si="35"/>
        <v>Sem premiação</v>
      </c>
    </row>
    <row r="740" spans="2:7" ht="20.100000000000001" customHeight="1" x14ac:dyDescent="0.25">
      <c r="B740" s="14" t="s">
        <v>801</v>
      </c>
      <c r="C740" s="15">
        <v>2</v>
      </c>
      <c r="D740" s="16">
        <v>426.8</v>
      </c>
      <c r="E740" s="17">
        <f t="shared" si="33"/>
        <v>213.4</v>
      </c>
      <c r="F740" s="18">
        <f t="shared" si="34"/>
        <v>8</v>
      </c>
      <c r="G740" s="18" t="str">
        <f t="shared" si="35"/>
        <v>Sem premiação</v>
      </c>
    </row>
    <row r="741" spans="2:7" ht="20.100000000000001" customHeight="1" x14ac:dyDescent="0.25">
      <c r="B741" s="14" t="s">
        <v>802</v>
      </c>
      <c r="C741" s="15">
        <v>2</v>
      </c>
      <c r="D741" s="16">
        <v>531.62</v>
      </c>
      <c r="E741" s="17">
        <f t="shared" si="33"/>
        <v>265.81</v>
      </c>
      <c r="F741" s="18">
        <f t="shared" si="34"/>
        <v>10</v>
      </c>
      <c r="G741" s="18" t="str">
        <f t="shared" si="35"/>
        <v>Sem premiação</v>
      </c>
    </row>
    <row r="742" spans="2:7" ht="20.100000000000001" customHeight="1" x14ac:dyDescent="0.25">
      <c r="B742" s="14" t="s">
        <v>803</v>
      </c>
      <c r="C742" s="15">
        <v>2</v>
      </c>
      <c r="D742" s="16">
        <v>263.19</v>
      </c>
      <c r="E742" s="17">
        <f t="shared" si="33"/>
        <v>131.595</v>
      </c>
      <c r="F742" s="18">
        <f t="shared" si="34"/>
        <v>4</v>
      </c>
      <c r="G742" s="18" t="str">
        <f t="shared" si="35"/>
        <v>Sem premiação</v>
      </c>
    </row>
    <row r="743" spans="2:7" ht="20.100000000000001" customHeight="1" x14ac:dyDescent="0.25">
      <c r="B743" s="14" t="s">
        <v>804</v>
      </c>
      <c r="C743" s="15">
        <v>2</v>
      </c>
      <c r="D743" s="16">
        <v>851.5</v>
      </c>
      <c r="E743" s="17">
        <f t="shared" si="33"/>
        <v>425.75</v>
      </c>
      <c r="F743" s="18">
        <f t="shared" si="34"/>
        <v>16</v>
      </c>
      <c r="G743" s="18" t="str">
        <f t="shared" si="35"/>
        <v>Sem premiação</v>
      </c>
    </row>
    <row r="744" spans="2:7" ht="20.100000000000001" customHeight="1" x14ac:dyDescent="0.25">
      <c r="B744" s="14" t="s">
        <v>805</v>
      </c>
      <c r="C744" s="15">
        <v>2</v>
      </c>
      <c r="D744" s="16">
        <v>532.07000000000005</v>
      </c>
      <c r="E744" s="17">
        <f t="shared" si="33"/>
        <v>266.03500000000003</v>
      </c>
      <c r="F744" s="18">
        <f t="shared" si="34"/>
        <v>10</v>
      </c>
      <c r="G744" s="18" t="str">
        <f t="shared" si="35"/>
        <v>Sem premiação</v>
      </c>
    </row>
    <row r="745" spans="2:7" ht="20.100000000000001" customHeight="1" x14ac:dyDescent="0.25">
      <c r="B745" s="14" t="s">
        <v>806</v>
      </c>
      <c r="C745" s="15">
        <v>2</v>
      </c>
      <c r="D745" s="16">
        <v>226.62</v>
      </c>
      <c r="E745" s="17">
        <f t="shared" si="33"/>
        <v>113.31</v>
      </c>
      <c r="F745" s="18">
        <f t="shared" si="34"/>
        <v>4</v>
      </c>
      <c r="G745" s="18" t="str">
        <f t="shared" si="35"/>
        <v>Sem premiação</v>
      </c>
    </row>
    <row r="746" spans="2:7" ht="20.100000000000001" customHeight="1" x14ac:dyDescent="0.25">
      <c r="B746" s="14" t="s">
        <v>807</v>
      </c>
      <c r="C746" s="15">
        <v>2</v>
      </c>
      <c r="D746" s="16">
        <v>523.42999999999995</v>
      </c>
      <c r="E746" s="17">
        <f t="shared" si="33"/>
        <v>261.71499999999997</v>
      </c>
      <c r="F746" s="18">
        <f t="shared" si="34"/>
        <v>10</v>
      </c>
      <c r="G746" s="18" t="str">
        <f t="shared" si="35"/>
        <v>Sem premiação</v>
      </c>
    </row>
    <row r="747" spans="2:7" ht="20.100000000000001" customHeight="1" x14ac:dyDescent="0.25">
      <c r="B747" s="14" t="s">
        <v>808</v>
      </c>
      <c r="C747" s="15">
        <v>2</v>
      </c>
      <c r="D747" s="16">
        <v>146.91999999999999</v>
      </c>
      <c r="E747" s="17">
        <f t="shared" si="33"/>
        <v>73.459999999999994</v>
      </c>
      <c r="F747" s="18">
        <f t="shared" si="34"/>
        <v>2</v>
      </c>
      <c r="G747" s="18" t="str">
        <f t="shared" si="35"/>
        <v>Sem premiação</v>
      </c>
    </row>
    <row r="748" spans="2:7" ht="20.100000000000001" customHeight="1" x14ac:dyDescent="0.25">
      <c r="B748" s="14" t="s">
        <v>809</v>
      </c>
      <c r="C748" s="15">
        <v>2</v>
      </c>
      <c r="D748" s="16">
        <v>165.42</v>
      </c>
      <c r="E748" s="17">
        <f t="shared" si="33"/>
        <v>82.71</v>
      </c>
      <c r="F748" s="18">
        <f t="shared" si="34"/>
        <v>2</v>
      </c>
      <c r="G748" s="18" t="str">
        <f t="shared" si="35"/>
        <v>Sem premiação</v>
      </c>
    </row>
    <row r="749" spans="2:7" ht="20.100000000000001" customHeight="1" x14ac:dyDescent="0.25">
      <c r="B749" s="14" t="s">
        <v>810</v>
      </c>
      <c r="C749" s="15">
        <v>2</v>
      </c>
      <c r="D749" s="16">
        <v>308.87</v>
      </c>
      <c r="E749" s="17">
        <f t="shared" si="33"/>
        <v>154.435</v>
      </c>
      <c r="F749" s="18">
        <f t="shared" si="34"/>
        <v>6</v>
      </c>
      <c r="G749" s="18" t="str">
        <f t="shared" si="35"/>
        <v>Sem premiação</v>
      </c>
    </row>
    <row r="750" spans="2:7" ht="20.100000000000001" customHeight="1" x14ac:dyDescent="0.25">
      <c r="B750" s="14" t="s">
        <v>811</v>
      </c>
      <c r="C750" s="15">
        <v>2</v>
      </c>
      <c r="D750" s="16">
        <v>169.92</v>
      </c>
      <c r="E750" s="17">
        <f t="shared" si="33"/>
        <v>84.96</v>
      </c>
      <c r="F750" s="18">
        <f t="shared" si="34"/>
        <v>2</v>
      </c>
      <c r="G750" s="18" t="str">
        <f t="shared" si="35"/>
        <v>Sem premiação</v>
      </c>
    </row>
    <row r="751" spans="2:7" ht="20.100000000000001" customHeight="1" x14ac:dyDescent="0.25">
      <c r="B751" s="14" t="s">
        <v>812</v>
      </c>
      <c r="C751" s="15">
        <v>2</v>
      </c>
      <c r="D751" s="16">
        <v>457.59</v>
      </c>
      <c r="E751" s="17">
        <f t="shared" si="33"/>
        <v>228.79499999999999</v>
      </c>
      <c r="F751" s="18">
        <f t="shared" si="34"/>
        <v>8</v>
      </c>
      <c r="G751" s="18" t="str">
        <f t="shared" si="35"/>
        <v>Sem premiação</v>
      </c>
    </row>
    <row r="752" spans="2:7" ht="20.100000000000001" customHeight="1" x14ac:dyDescent="0.25">
      <c r="B752" s="14" t="s">
        <v>813</v>
      </c>
      <c r="C752" s="15">
        <v>2</v>
      </c>
      <c r="D752" s="16">
        <v>640.84</v>
      </c>
      <c r="E752" s="17">
        <f t="shared" si="33"/>
        <v>320.42</v>
      </c>
      <c r="F752" s="18">
        <f t="shared" si="34"/>
        <v>12</v>
      </c>
      <c r="G752" s="18" t="str">
        <f t="shared" si="35"/>
        <v>Sem premiação</v>
      </c>
    </row>
    <row r="753" spans="2:7" ht="20.100000000000001" customHeight="1" x14ac:dyDescent="0.25">
      <c r="B753" s="14" t="s">
        <v>814</v>
      </c>
      <c r="C753" s="15">
        <v>2</v>
      </c>
      <c r="D753" s="16">
        <v>190.62</v>
      </c>
      <c r="E753" s="17">
        <f t="shared" si="33"/>
        <v>95.31</v>
      </c>
      <c r="F753" s="18">
        <f t="shared" si="34"/>
        <v>2</v>
      </c>
      <c r="G753" s="18" t="str">
        <f t="shared" si="35"/>
        <v>Sem premiação</v>
      </c>
    </row>
    <row r="754" spans="2:7" ht="20.100000000000001" customHeight="1" x14ac:dyDescent="0.25">
      <c r="B754" s="14" t="s">
        <v>815</v>
      </c>
      <c r="C754" s="15">
        <v>2</v>
      </c>
      <c r="D754" s="16">
        <v>168.12</v>
      </c>
      <c r="E754" s="17">
        <f t="shared" si="33"/>
        <v>84.06</v>
      </c>
      <c r="F754" s="18">
        <f t="shared" si="34"/>
        <v>2</v>
      </c>
      <c r="G754" s="18" t="str">
        <f t="shared" si="35"/>
        <v>Sem premiação</v>
      </c>
    </row>
    <row r="755" spans="2:7" ht="20.100000000000001" customHeight="1" x14ac:dyDescent="0.25">
      <c r="B755" s="14" t="s">
        <v>816</v>
      </c>
      <c r="C755" s="15">
        <v>2</v>
      </c>
      <c r="D755" s="16">
        <v>311.73</v>
      </c>
      <c r="E755" s="17">
        <f t="shared" si="33"/>
        <v>155.86500000000001</v>
      </c>
      <c r="F755" s="18">
        <f t="shared" si="34"/>
        <v>6</v>
      </c>
      <c r="G755" s="18" t="str">
        <f t="shared" si="35"/>
        <v>Sem premiação</v>
      </c>
    </row>
    <row r="756" spans="2:7" ht="20.100000000000001" customHeight="1" x14ac:dyDescent="0.25">
      <c r="B756" s="14" t="s">
        <v>817</v>
      </c>
      <c r="C756" s="15">
        <v>2</v>
      </c>
      <c r="D756" s="16">
        <v>141.11000000000001</v>
      </c>
      <c r="E756" s="17">
        <f t="shared" si="33"/>
        <v>70.555000000000007</v>
      </c>
      <c r="F756" s="18">
        <f t="shared" si="34"/>
        <v>2</v>
      </c>
      <c r="G756" s="18" t="str">
        <f t="shared" si="35"/>
        <v>Sem premiação</v>
      </c>
    </row>
    <row r="757" spans="2:7" ht="20.100000000000001" customHeight="1" x14ac:dyDescent="0.25">
      <c r="B757" s="14" t="s">
        <v>818</v>
      </c>
      <c r="C757" s="15">
        <v>2</v>
      </c>
      <c r="D757" s="16">
        <v>363.13</v>
      </c>
      <c r="E757" s="17">
        <f t="shared" si="33"/>
        <v>181.565</v>
      </c>
      <c r="F757" s="18">
        <f t="shared" si="34"/>
        <v>6</v>
      </c>
      <c r="G757" s="18" t="str">
        <f t="shared" si="35"/>
        <v>Sem premiação</v>
      </c>
    </row>
    <row r="758" spans="2:7" ht="20.100000000000001" customHeight="1" x14ac:dyDescent="0.25">
      <c r="B758" s="14" t="s">
        <v>819</v>
      </c>
      <c r="C758" s="15">
        <v>2</v>
      </c>
      <c r="D758" s="16">
        <v>170.8</v>
      </c>
      <c r="E758" s="17">
        <f t="shared" si="33"/>
        <v>85.4</v>
      </c>
      <c r="F758" s="18">
        <f t="shared" si="34"/>
        <v>2</v>
      </c>
      <c r="G758" s="18" t="str">
        <f t="shared" si="35"/>
        <v>Sem premiação</v>
      </c>
    </row>
    <row r="759" spans="2:7" ht="20.100000000000001" customHeight="1" x14ac:dyDescent="0.25">
      <c r="B759" s="14" t="s">
        <v>820</v>
      </c>
      <c r="C759" s="15">
        <v>2</v>
      </c>
      <c r="D759" s="16">
        <v>163.62</v>
      </c>
      <c r="E759" s="17">
        <f t="shared" si="33"/>
        <v>81.81</v>
      </c>
      <c r="F759" s="18">
        <f t="shared" si="34"/>
        <v>2</v>
      </c>
      <c r="G759" s="18" t="str">
        <f t="shared" si="35"/>
        <v>Sem premiação</v>
      </c>
    </row>
    <row r="760" spans="2:7" ht="20.100000000000001" customHeight="1" x14ac:dyDescent="0.25">
      <c r="B760" s="14" t="s">
        <v>821</v>
      </c>
      <c r="C760" s="15">
        <v>2</v>
      </c>
      <c r="D760" s="16">
        <v>284.99</v>
      </c>
      <c r="E760" s="17">
        <f t="shared" si="33"/>
        <v>142.495</v>
      </c>
      <c r="F760" s="18">
        <f t="shared" si="34"/>
        <v>4</v>
      </c>
      <c r="G760" s="18" t="str">
        <f t="shared" si="35"/>
        <v>Sem premiação</v>
      </c>
    </row>
    <row r="761" spans="2:7" ht="20.100000000000001" customHeight="1" x14ac:dyDescent="0.25">
      <c r="B761" s="14" t="s">
        <v>822</v>
      </c>
      <c r="C761" s="15">
        <v>2</v>
      </c>
      <c r="D761" s="16">
        <v>337.93</v>
      </c>
      <c r="E761" s="17">
        <f t="shared" si="33"/>
        <v>168.965</v>
      </c>
      <c r="F761" s="18">
        <f t="shared" si="34"/>
        <v>6</v>
      </c>
      <c r="G761" s="18" t="str">
        <f t="shared" si="35"/>
        <v>Sem premiação</v>
      </c>
    </row>
    <row r="762" spans="2:7" ht="20.100000000000001" customHeight="1" x14ac:dyDescent="0.25">
      <c r="B762" s="14" t="s">
        <v>823</v>
      </c>
      <c r="C762" s="15">
        <v>2</v>
      </c>
      <c r="D762" s="16">
        <v>220.97</v>
      </c>
      <c r="E762" s="17">
        <f t="shared" si="33"/>
        <v>110.485</v>
      </c>
      <c r="F762" s="18">
        <f t="shared" si="34"/>
        <v>4</v>
      </c>
      <c r="G762" s="18" t="str">
        <f t="shared" si="35"/>
        <v>Sem premiação</v>
      </c>
    </row>
    <row r="763" spans="2:7" ht="20.100000000000001" customHeight="1" x14ac:dyDescent="0.25">
      <c r="B763" s="14" t="s">
        <v>824</v>
      </c>
      <c r="C763" s="15">
        <v>2</v>
      </c>
      <c r="D763" s="16">
        <v>237.42</v>
      </c>
      <c r="E763" s="17">
        <f t="shared" si="33"/>
        <v>118.71</v>
      </c>
      <c r="F763" s="18">
        <f t="shared" si="34"/>
        <v>4</v>
      </c>
      <c r="G763" s="18" t="str">
        <f t="shared" si="35"/>
        <v>Sem premiação</v>
      </c>
    </row>
    <row r="764" spans="2:7" ht="20.100000000000001" customHeight="1" x14ac:dyDescent="0.25">
      <c r="B764" s="14" t="s">
        <v>825</v>
      </c>
      <c r="C764" s="15">
        <v>2</v>
      </c>
      <c r="D764" s="16">
        <v>179.08</v>
      </c>
      <c r="E764" s="17">
        <f t="shared" si="33"/>
        <v>89.54</v>
      </c>
      <c r="F764" s="18">
        <f t="shared" si="34"/>
        <v>2</v>
      </c>
      <c r="G764" s="18" t="str">
        <f t="shared" si="35"/>
        <v>Sem premiação</v>
      </c>
    </row>
    <row r="765" spans="2:7" ht="20.100000000000001" customHeight="1" x14ac:dyDescent="0.25">
      <c r="B765" s="14" t="s">
        <v>826</v>
      </c>
      <c r="C765" s="15">
        <v>2</v>
      </c>
      <c r="D765" s="16">
        <v>225.72</v>
      </c>
      <c r="E765" s="17">
        <f t="shared" si="33"/>
        <v>112.86</v>
      </c>
      <c r="F765" s="18">
        <f t="shared" si="34"/>
        <v>4</v>
      </c>
      <c r="G765" s="18" t="str">
        <f t="shared" si="35"/>
        <v>Sem premiação</v>
      </c>
    </row>
    <row r="766" spans="2:7" ht="20.100000000000001" customHeight="1" x14ac:dyDescent="0.25">
      <c r="B766" s="14" t="s">
        <v>827</v>
      </c>
      <c r="C766" s="15">
        <v>2</v>
      </c>
      <c r="D766" s="16">
        <v>257.38</v>
      </c>
      <c r="E766" s="17">
        <f t="shared" si="33"/>
        <v>128.69</v>
      </c>
      <c r="F766" s="18">
        <f t="shared" si="34"/>
        <v>4</v>
      </c>
      <c r="G766" s="18" t="str">
        <f t="shared" si="35"/>
        <v>Sem premiação</v>
      </c>
    </row>
    <row r="767" spans="2:7" ht="20.100000000000001" customHeight="1" x14ac:dyDescent="0.25">
      <c r="B767" s="14" t="s">
        <v>828</v>
      </c>
      <c r="C767" s="15">
        <v>2</v>
      </c>
      <c r="D767" s="16">
        <v>342.18</v>
      </c>
      <c r="E767" s="17">
        <f t="shared" si="33"/>
        <v>171.09</v>
      </c>
      <c r="F767" s="18">
        <f t="shared" si="34"/>
        <v>6</v>
      </c>
      <c r="G767" s="18" t="str">
        <f t="shared" si="35"/>
        <v>Sem premiação</v>
      </c>
    </row>
    <row r="768" spans="2:7" ht="20.100000000000001" customHeight="1" x14ac:dyDescent="0.25">
      <c r="B768" s="14" t="s">
        <v>829</v>
      </c>
      <c r="C768" s="15">
        <v>2</v>
      </c>
      <c r="D768" s="16">
        <v>380.43</v>
      </c>
      <c r="E768" s="17">
        <f t="shared" si="33"/>
        <v>190.215</v>
      </c>
      <c r="F768" s="18">
        <f t="shared" si="34"/>
        <v>6</v>
      </c>
      <c r="G768" s="18" t="str">
        <f t="shared" si="35"/>
        <v>Sem premiação</v>
      </c>
    </row>
    <row r="769" spans="2:7" ht="20.100000000000001" customHeight="1" x14ac:dyDescent="0.25">
      <c r="B769" s="14" t="s">
        <v>830</v>
      </c>
      <c r="C769" s="15">
        <v>2</v>
      </c>
      <c r="D769" s="16">
        <v>632.23</v>
      </c>
      <c r="E769" s="17">
        <f t="shared" si="33"/>
        <v>316.11500000000001</v>
      </c>
      <c r="F769" s="18">
        <f t="shared" si="34"/>
        <v>12</v>
      </c>
      <c r="G769" s="18" t="str">
        <f t="shared" si="35"/>
        <v>Sem premiação</v>
      </c>
    </row>
    <row r="770" spans="2:7" ht="20.100000000000001" customHeight="1" x14ac:dyDescent="0.25">
      <c r="B770" s="14" t="s">
        <v>831</v>
      </c>
      <c r="C770" s="15">
        <v>2</v>
      </c>
      <c r="D770" s="16">
        <v>472.43</v>
      </c>
      <c r="E770" s="17">
        <f t="shared" si="33"/>
        <v>236.215</v>
      </c>
      <c r="F770" s="18">
        <f t="shared" si="34"/>
        <v>8</v>
      </c>
      <c r="G770" s="18" t="str">
        <f t="shared" si="35"/>
        <v>Sem premiação</v>
      </c>
    </row>
    <row r="771" spans="2:7" ht="20.100000000000001" customHeight="1" x14ac:dyDescent="0.25">
      <c r="B771" s="14" t="s">
        <v>832</v>
      </c>
      <c r="C771" s="15">
        <v>2</v>
      </c>
      <c r="D771" s="16">
        <v>278.31</v>
      </c>
      <c r="E771" s="17">
        <f t="shared" si="33"/>
        <v>139.155</v>
      </c>
      <c r="F771" s="18">
        <f t="shared" si="34"/>
        <v>4</v>
      </c>
      <c r="G771" s="18" t="str">
        <f t="shared" si="35"/>
        <v>Sem premiação</v>
      </c>
    </row>
    <row r="772" spans="2:7" ht="20.100000000000001" customHeight="1" x14ac:dyDescent="0.25">
      <c r="B772" s="14" t="s">
        <v>833</v>
      </c>
      <c r="C772" s="15">
        <v>2</v>
      </c>
      <c r="D772" s="16">
        <v>292.36</v>
      </c>
      <c r="E772" s="17">
        <f t="shared" ref="E772:E835" si="36">D772/C772</f>
        <v>146.18</v>
      </c>
      <c r="F772" s="18">
        <f t="shared" ref="F772:F835" si="37">IFERROR(C772*_xlfn.XLOOKUP(E772,$J$4:$J$13,$K$4:$K$13,0,-1),0)</f>
        <v>4</v>
      </c>
      <c r="G772" s="18" t="str">
        <f t="shared" ref="G772:G835" si="38">IFERROR(VLOOKUP(F772,$J$16:$K$19,2,TRUE),"SEM PREMIAÇÃO")</f>
        <v>Sem premiação</v>
      </c>
    </row>
    <row r="773" spans="2:7" ht="20.100000000000001" customHeight="1" x14ac:dyDescent="0.25">
      <c r="B773" s="14" t="s">
        <v>834</v>
      </c>
      <c r="C773" s="15">
        <v>2</v>
      </c>
      <c r="D773" s="16">
        <v>294.22000000000003</v>
      </c>
      <c r="E773" s="17">
        <f t="shared" si="36"/>
        <v>147.11000000000001</v>
      </c>
      <c r="F773" s="18">
        <f t="shared" si="37"/>
        <v>4</v>
      </c>
      <c r="G773" s="18" t="str">
        <f t="shared" si="38"/>
        <v>Sem premiação</v>
      </c>
    </row>
    <row r="774" spans="2:7" ht="20.100000000000001" customHeight="1" x14ac:dyDescent="0.25">
      <c r="B774" s="14" t="s">
        <v>835</v>
      </c>
      <c r="C774" s="15">
        <v>2</v>
      </c>
      <c r="D774" s="16">
        <v>515.78</v>
      </c>
      <c r="E774" s="17">
        <f t="shared" si="36"/>
        <v>257.89</v>
      </c>
      <c r="F774" s="18">
        <f t="shared" si="37"/>
        <v>10</v>
      </c>
      <c r="G774" s="18" t="str">
        <f t="shared" si="38"/>
        <v>Sem premiação</v>
      </c>
    </row>
    <row r="775" spans="2:7" ht="20.100000000000001" customHeight="1" x14ac:dyDescent="0.25">
      <c r="B775" s="14" t="s">
        <v>836</v>
      </c>
      <c r="C775" s="15">
        <v>2</v>
      </c>
      <c r="D775" s="16">
        <v>248.16</v>
      </c>
      <c r="E775" s="17">
        <f t="shared" si="36"/>
        <v>124.08</v>
      </c>
      <c r="F775" s="18">
        <f t="shared" si="37"/>
        <v>4</v>
      </c>
      <c r="G775" s="18" t="str">
        <f t="shared" si="38"/>
        <v>Sem premiação</v>
      </c>
    </row>
    <row r="776" spans="2:7" ht="20.100000000000001" customHeight="1" x14ac:dyDescent="0.25">
      <c r="B776" s="14" t="s">
        <v>837</v>
      </c>
      <c r="C776" s="15">
        <v>2</v>
      </c>
      <c r="D776" s="16">
        <v>356.83</v>
      </c>
      <c r="E776" s="17">
        <f t="shared" si="36"/>
        <v>178.41499999999999</v>
      </c>
      <c r="F776" s="18">
        <f t="shared" si="37"/>
        <v>6</v>
      </c>
      <c r="G776" s="18" t="str">
        <f t="shared" si="38"/>
        <v>Sem premiação</v>
      </c>
    </row>
    <row r="777" spans="2:7" ht="20.100000000000001" customHeight="1" x14ac:dyDescent="0.25">
      <c r="B777" s="14" t="s">
        <v>838</v>
      </c>
      <c r="C777" s="15">
        <v>2</v>
      </c>
      <c r="D777" s="16">
        <v>354.28</v>
      </c>
      <c r="E777" s="17">
        <f t="shared" si="36"/>
        <v>177.14</v>
      </c>
      <c r="F777" s="18">
        <f t="shared" si="37"/>
        <v>6</v>
      </c>
      <c r="G777" s="18" t="str">
        <f t="shared" si="38"/>
        <v>Sem premiação</v>
      </c>
    </row>
    <row r="778" spans="2:7" ht="20.100000000000001" customHeight="1" x14ac:dyDescent="0.25">
      <c r="B778" s="14" t="s">
        <v>839</v>
      </c>
      <c r="C778" s="15">
        <v>2</v>
      </c>
      <c r="D778" s="16">
        <v>276.61</v>
      </c>
      <c r="E778" s="17">
        <f t="shared" si="36"/>
        <v>138.30500000000001</v>
      </c>
      <c r="F778" s="18">
        <f t="shared" si="37"/>
        <v>4</v>
      </c>
      <c r="G778" s="18" t="str">
        <f t="shared" si="38"/>
        <v>Sem premiação</v>
      </c>
    </row>
    <row r="779" spans="2:7" ht="20.100000000000001" customHeight="1" x14ac:dyDescent="0.25">
      <c r="B779" s="14" t="s">
        <v>840</v>
      </c>
      <c r="C779" s="15">
        <v>2</v>
      </c>
      <c r="D779" s="16">
        <v>337.28</v>
      </c>
      <c r="E779" s="17">
        <f t="shared" si="36"/>
        <v>168.64</v>
      </c>
      <c r="F779" s="18">
        <f t="shared" si="37"/>
        <v>6</v>
      </c>
      <c r="G779" s="18" t="str">
        <f t="shared" si="38"/>
        <v>Sem premiação</v>
      </c>
    </row>
    <row r="780" spans="2:7" ht="20.100000000000001" customHeight="1" x14ac:dyDescent="0.25">
      <c r="B780" s="14" t="s">
        <v>841</v>
      </c>
      <c r="C780" s="15">
        <v>2</v>
      </c>
      <c r="D780" s="16">
        <v>242.07</v>
      </c>
      <c r="E780" s="17">
        <f t="shared" si="36"/>
        <v>121.035</v>
      </c>
      <c r="F780" s="18">
        <f t="shared" si="37"/>
        <v>4</v>
      </c>
      <c r="G780" s="18" t="str">
        <f t="shared" si="38"/>
        <v>Sem premiação</v>
      </c>
    </row>
    <row r="781" spans="2:7" ht="20.100000000000001" customHeight="1" x14ac:dyDescent="0.25">
      <c r="B781" s="14" t="s">
        <v>842</v>
      </c>
      <c r="C781" s="15">
        <v>2</v>
      </c>
      <c r="D781" s="16">
        <v>530.79999999999995</v>
      </c>
      <c r="E781" s="17">
        <f t="shared" si="36"/>
        <v>265.39999999999998</v>
      </c>
      <c r="F781" s="18">
        <f t="shared" si="37"/>
        <v>10</v>
      </c>
      <c r="G781" s="18" t="str">
        <f t="shared" si="38"/>
        <v>Sem premiação</v>
      </c>
    </row>
    <row r="782" spans="2:7" ht="20.100000000000001" customHeight="1" x14ac:dyDescent="0.25">
      <c r="B782" s="14" t="s">
        <v>843</v>
      </c>
      <c r="C782" s="15">
        <v>2</v>
      </c>
      <c r="D782" s="16">
        <v>434.77</v>
      </c>
      <c r="E782" s="17">
        <f t="shared" si="36"/>
        <v>217.38499999999999</v>
      </c>
      <c r="F782" s="18">
        <f t="shared" si="37"/>
        <v>8</v>
      </c>
      <c r="G782" s="18" t="str">
        <f t="shared" si="38"/>
        <v>Sem premiação</v>
      </c>
    </row>
    <row r="783" spans="2:7" ht="20.100000000000001" customHeight="1" x14ac:dyDescent="0.25">
      <c r="B783" s="14" t="s">
        <v>844</v>
      </c>
      <c r="C783" s="15">
        <v>2</v>
      </c>
      <c r="D783" s="16">
        <v>280.33</v>
      </c>
      <c r="E783" s="17">
        <f t="shared" si="36"/>
        <v>140.16499999999999</v>
      </c>
      <c r="F783" s="18">
        <f t="shared" si="37"/>
        <v>4</v>
      </c>
      <c r="G783" s="18" t="str">
        <f t="shared" si="38"/>
        <v>Sem premiação</v>
      </c>
    </row>
    <row r="784" spans="2:7" ht="20.100000000000001" customHeight="1" x14ac:dyDescent="0.25">
      <c r="B784" s="14" t="s">
        <v>845</v>
      </c>
      <c r="C784" s="15">
        <v>2</v>
      </c>
      <c r="D784" s="16">
        <v>179.91</v>
      </c>
      <c r="E784" s="17">
        <f t="shared" si="36"/>
        <v>89.954999999999998</v>
      </c>
      <c r="F784" s="18">
        <f t="shared" si="37"/>
        <v>2</v>
      </c>
      <c r="G784" s="18" t="str">
        <f t="shared" si="38"/>
        <v>Sem premiação</v>
      </c>
    </row>
    <row r="785" spans="2:7" ht="20.100000000000001" customHeight="1" x14ac:dyDescent="0.25">
      <c r="B785" s="14" t="s">
        <v>846</v>
      </c>
      <c r="C785" s="15">
        <v>2</v>
      </c>
      <c r="D785" s="16">
        <v>151.03</v>
      </c>
      <c r="E785" s="17">
        <f t="shared" si="36"/>
        <v>75.515000000000001</v>
      </c>
      <c r="F785" s="18">
        <f t="shared" si="37"/>
        <v>2</v>
      </c>
      <c r="G785" s="18" t="str">
        <f t="shared" si="38"/>
        <v>Sem premiação</v>
      </c>
    </row>
    <row r="786" spans="2:7" ht="20.100000000000001" customHeight="1" x14ac:dyDescent="0.25">
      <c r="B786" s="14" t="s">
        <v>847</v>
      </c>
      <c r="C786" s="15">
        <v>2</v>
      </c>
      <c r="D786" s="16">
        <v>362.31</v>
      </c>
      <c r="E786" s="17">
        <f t="shared" si="36"/>
        <v>181.155</v>
      </c>
      <c r="F786" s="18">
        <f t="shared" si="37"/>
        <v>6</v>
      </c>
      <c r="G786" s="18" t="str">
        <f t="shared" si="38"/>
        <v>Sem premiação</v>
      </c>
    </row>
    <row r="787" spans="2:7" ht="20.100000000000001" customHeight="1" x14ac:dyDescent="0.25">
      <c r="B787" s="14" t="s">
        <v>848</v>
      </c>
      <c r="C787" s="15">
        <v>2</v>
      </c>
      <c r="D787" s="16">
        <v>271.8</v>
      </c>
      <c r="E787" s="17">
        <f t="shared" si="36"/>
        <v>135.9</v>
      </c>
      <c r="F787" s="18">
        <f t="shared" si="37"/>
        <v>4</v>
      </c>
      <c r="G787" s="18" t="str">
        <f t="shared" si="38"/>
        <v>Sem premiação</v>
      </c>
    </row>
    <row r="788" spans="2:7" ht="20.100000000000001" customHeight="1" x14ac:dyDescent="0.25">
      <c r="B788" s="14" t="s">
        <v>849</v>
      </c>
      <c r="C788" s="15">
        <v>2</v>
      </c>
      <c r="D788" s="16">
        <v>243.79</v>
      </c>
      <c r="E788" s="17">
        <f t="shared" si="36"/>
        <v>121.895</v>
      </c>
      <c r="F788" s="18">
        <f t="shared" si="37"/>
        <v>4</v>
      </c>
      <c r="G788" s="18" t="str">
        <f t="shared" si="38"/>
        <v>Sem premiação</v>
      </c>
    </row>
    <row r="789" spans="2:7" ht="20.100000000000001" customHeight="1" x14ac:dyDescent="0.25">
      <c r="B789" s="14" t="s">
        <v>850</v>
      </c>
      <c r="C789" s="15">
        <v>2</v>
      </c>
      <c r="D789" s="16">
        <v>270.97000000000003</v>
      </c>
      <c r="E789" s="17">
        <f t="shared" si="36"/>
        <v>135.48500000000001</v>
      </c>
      <c r="F789" s="18">
        <f t="shared" si="37"/>
        <v>4</v>
      </c>
      <c r="G789" s="18" t="str">
        <f t="shared" si="38"/>
        <v>Sem premiação</v>
      </c>
    </row>
    <row r="790" spans="2:7" ht="20.100000000000001" customHeight="1" x14ac:dyDescent="0.25">
      <c r="B790" s="14" t="s">
        <v>851</v>
      </c>
      <c r="C790" s="15">
        <v>2</v>
      </c>
      <c r="D790" s="16">
        <v>527.67999999999995</v>
      </c>
      <c r="E790" s="17">
        <f t="shared" si="36"/>
        <v>263.83999999999997</v>
      </c>
      <c r="F790" s="18">
        <f t="shared" si="37"/>
        <v>10</v>
      </c>
      <c r="G790" s="18" t="str">
        <f t="shared" si="38"/>
        <v>Sem premiação</v>
      </c>
    </row>
    <row r="791" spans="2:7" ht="20.100000000000001" customHeight="1" x14ac:dyDescent="0.25">
      <c r="B791" s="14" t="s">
        <v>852</v>
      </c>
      <c r="C791" s="15">
        <v>2</v>
      </c>
      <c r="D791" s="16">
        <v>614.72</v>
      </c>
      <c r="E791" s="17">
        <f t="shared" si="36"/>
        <v>307.36</v>
      </c>
      <c r="F791" s="18">
        <f t="shared" si="37"/>
        <v>12</v>
      </c>
      <c r="G791" s="18" t="str">
        <f t="shared" si="38"/>
        <v>Sem premiação</v>
      </c>
    </row>
    <row r="792" spans="2:7" ht="20.100000000000001" customHeight="1" x14ac:dyDescent="0.25">
      <c r="B792" s="14" t="s">
        <v>853</v>
      </c>
      <c r="C792" s="15">
        <v>2</v>
      </c>
      <c r="D792" s="16">
        <v>537.91999999999996</v>
      </c>
      <c r="E792" s="17">
        <f t="shared" si="36"/>
        <v>268.95999999999998</v>
      </c>
      <c r="F792" s="18">
        <f t="shared" si="37"/>
        <v>10</v>
      </c>
      <c r="G792" s="18" t="str">
        <f t="shared" si="38"/>
        <v>Sem premiação</v>
      </c>
    </row>
    <row r="793" spans="2:7" ht="20.100000000000001" customHeight="1" x14ac:dyDescent="0.25">
      <c r="B793" s="14" t="s">
        <v>854</v>
      </c>
      <c r="C793" s="15">
        <v>2</v>
      </c>
      <c r="D793" s="16">
        <v>163.31</v>
      </c>
      <c r="E793" s="17">
        <f t="shared" si="36"/>
        <v>81.655000000000001</v>
      </c>
      <c r="F793" s="18">
        <f t="shared" si="37"/>
        <v>2</v>
      </c>
      <c r="G793" s="18" t="str">
        <f t="shared" si="38"/>
        <v>Sem premiação</v>
      </c>
    </row>
    <row r="794" spans="2:7" ht="20.100000000000001" customHeight="1" x14ac:dyDescent="0.25">
      <c r="B794" s="14" t="s">
        <v>855</v>
      </c>
      <c r="C794" s="15">
        <v>2</v>
      </c>
      <c r="D794" s="16">
        <v>445.71</v>
      </c>
      <c r="E794" s="17">
        <f t="shared" si="36"/>
        <v>222.85499999999999</v>
      </c>
      <c r="F794" s="18">
        <f t="shared" si="37"/>
        <v>8</v>
      </c>
      <c r="G794" s="18" t="str">
        <f t="shared" si="38"/>
        <v>Sem premiação</v>
      </c>
    </row>
    <row r="795" spans="2:7" ht="20.100000000000001" customHeight="1" x14ac:dyDescent="0.25">
      <c r="B795" s="14" t="s">
        <v>856</v>
      </c>
      <c r="C795" s="15">
        <v>1</v>
      </c>
      <c r="D795" s="16">
        <v>136.76</v>
      </c>
      <c r="E795" s="17">
        <f t="shared" si="36"/>
        <v>136.76</v>
      </c>
      <c r="F795" s="18">
        <f t="shared" si="37"/>
        <v>2</v>
      </c>
      <c r="G795" s="18" t="str">
        <f t="shared" si="38"/>
        <v>Sem premiação</v>
      </c>
    </row>
    <row r="796" spans="2:7" ht="20.100000000000001" customHeight="1" x14ac:dyDescent="0.25">
      <c r="B796" s="14" t="s">
        <v>857</v>
      </c>
      <c r="C796" s="15">
        <v>1</v>
      </c>
      <c r="D796" s="16">
        <v>50.9</v>
      </c>
      <c r="E796" s="17">
        <f t="shared" si="36"/>
        <v>50.9</v>
      </c>
      <c r="F796" s="18">
        <f t="shared" si="37"/>
        <v>1</v>
      </c>
      <c r="G796" s="18" t="str">
        <f t="shared" si="38"/>
        <v>Sem premiação</v>
      </c>
    </row>
    <row r="797" spans="2:7" ht="20.100000000000001" customHeight="1" x14ac:dyDescent="0.25">
      <c r="B797" s="14" t="s">
        <v>858</v>
      </c>
      <c r="C797" s="15">
        <v>1</v>
      </c>
      <c r="D797" s="16">
        <v>70.900000000000006</v>
      </c>
      <c r="E797" s="17">
        <f t="shared" si="36"/>
        <v>70.900000000000006</v>
      </c>
      <c r="F797" s="18">
        <f t="shared" si="37"/>
        <v>1</v>
      </c>
      <c r="G797" s="18" t="str">
        <f t="shared" si="38"/>
        <v>Sem premiação</v>
      </c>
    </row>
    <row r="798" spans="2:7" ht="20.100000000000001" customHeight="1" x14ac:dyDescent="0.25">
      <c r="B798" s="14" t="s">
        <v>859</v>
      </c>
      <c r="C798" s="15">
        <v>1</v>
      </c>
      <c r="D798" s="16">
        <v>129.66</v>
      </c>
      <c r="E798" s="17">
        <f t="shared" si="36"/>
        <v>129.66</v>
      </c>
      <c r="F798" s="18">
        <f t="shared" si="37"/>
        <v>2</v>
      </c>
      <c r="G798" s="18" t="str">
        <f t="shared" si="38"/>
        <v>Sem premiação</v>
      </c>
    </row>
    <row r="799" spans="2:7" ht="20.100000000000001" customHeight="1" x14ac:dyDescent="0.25">
      <c r="B799" s="14" t="s">
        <v>860</v>
      </c>
      <c r="C799" s="15">
        <v>1</v>
      </c>
      <c r="D799" s="16">
        <v>302.51</v>
      </c>
      <c r="E799" s="17">
        <f t="shared" si="36"/>
        <v>302.51</v>
      </c>
      <c r="F799" s="18">
        <f t="shared" si="37"/>
        <v>6</v>
      </c>
      <c r="G799" s="18" t="str">
        <f t="shared" si="38"/>
        <v>Sem premiação</v>
      </c>
    </row>
    <row r="800" spans="2:7" ht="20.100000000000001" customHeight="1" x14ac:dyDescent="0.25">
      <c r="B800" s="14" t="s">
        <v>861</v>
      </c>
      <c r="C800" s="15">
        <v>1</v>
      </c>
      <c r="D800" s="16">
        <v>267.89999999999998</v>
      </c>
      <c r="E800" s="17">
        <f t="shared" si="36"/>
        <v>267.89999999999998</v>
      </c>
      <c r="F800" s="18">
        <f t="shared" si="37"/>
        <v>5</v>
      </c>
      <c r="G800" s="18" t="str">
        <f t="shared" si="38"/>
        <v>Sem premiação</v>
      </c>
    </row>
    <row r="801" spans="2:7" ht="20.100000000000001" customHeight="1" x14ac:dyDescent="0.25">
      <c r="B801" s="14" t="s">
        <v>862</v>
      </c>
      <c r="C801" s="15">
        <v>1</v>
      </c>
      <c r="D801" s="16">
        <v>123.21</v>
      </c>
      <c r="E801" s="17">
        <f t="shared" si="36"/>
        <v>123.21</v>
      </c>
      <c r="F801" s="18">
        <f t="shared" si="37"/>
        <v>2</v>
      </c>
      <c r="G801" s="18" t="str">
        <f t="shared" si="38"/>
        <v>Sem premiação</v>
      </c>
    </row>
    <row r="802" spans="2:7" ht="20.100000000000001" customHeight="1" x14ac:dyDescent="0.25">
      <c r="B802" s="14" t="s">
        <v>863</v>
      </c>
      <c r="C802" s="15">
        <v>1</v>
      </c>
      <c r="D802" s="16">
        <v>184.9</v>
      </c>
      <c r="E802" s="17">
        <f t="shared" si="36"/>
        <v>184.9</v>
      </c>
      <c r="F802" s="18">
        <f t="shared" si="37"/>
        <v>3</v>
      </c>
      <c r="G802" s="18" t="str">
        <f t="shared" si="38"/>
        <v>Sem premiação</v>
      </c>
    </row>
    <row r="803" spans="2:7" ht="20.100000000000001" customHeight="1" x14ac:dyDescent="0.25">
      <c r="B803" s="14" t="s">
        <v>864</v>
      </c>
      <c r="C803" s="15">
        <v>1</v>
      </c>
      <c r="D803" s="16">
        <v>53.91</v>
      </c>
      <c r="E803" s="17">
        <f t="shared" si="36"/>
        <v>53.91</v>
      </c>
      <c r="F803" s="18">
        <f t="shared" si="37"/>
        <v>1</v>
      </c>
      <c r="G803" s="18" t="str">
        <f t="shared" si="38"/>
        <v>Sem premiação</v>
      </c>
    </row>
    <row r="804" spans="2:7" ht="20.100000000000001" customHeight="1" x14ac:dyDescent="0.25">
      <c r="B804" s="14" t="s">
        <v>865</v>
      </c>
      <c r="C804" s="15">
        <v>1</v>
      </c>
      <c r="D804" s="16">
        <v>106.17</v>
      </c>
      <c r="E804" s="17">
        <f t="shared" si="36"/>
        <v>106.17</v>
      </c>
      <c r="F804" s="18">
        <f t="shared" si="37"/>
        <v>2</v>
      </c>
      <c r="G804" s="18" t="str">
        <f t="shared" si="38"/>
        <v>Sem premiação</v>
      </c>
    </row>
    <row r="805" spans="2:7" ht="20.100000000000001" customHeight="1" x14ac:dyDescent="0.25">
      <c r="B805" s="14" t="s">
        <v>866</v>
      </c>
      <c r="C805" s="15">
        <v>1</v>
      </c>
      <c r="D805" s="16">
        <v>82.71</v>
      </c>
      <c r="E805" s="17">
        <f t="shared" si="36"/>
        <v>82.71</v>
      </c>
      <c r="F805" s="18">
        <f t="shared" si="37"/>
        <v>1</v>
      </c>
      <c r="G805" s="18" t="str">
        <f t="shared" si="38"/>
        <v>Sem premiação</v>
      </c>
    </row>
    <row r="806" spans="2:7" ht="20.100000000000001" customHeight="1" x14ac:dyDescent="0.25">
      <c r="B806" s="14" t="s">
        <v>867</v>
      </c>
      <c r="C806" s="15">
        <v>1</v>
      </c>
      <c r="D806" s="16">
        <v>74.61</v>
      </c>
      <c r="E806" s="17">
        <f t="shared" si="36"/>
        <v>74.61</v>
      </c>
      <c r="F806" s="18">
        <f t="shared" si="37"/>
        <v>1</v>
      </c>
      <c r="G806" s="18" t="str">
        <f t="shared" si="38"/>
        <v>Sem premiação</v>
      </c>
    </row>
    <row r="807" spans="2:7" ht="20.100000000000001" customHeight="1" x14ac:dyDescent="0.25">
      <c r="B807" s="14" t="s">
        <v>868</v>
      </c>
      <c r="C807" s="15">
        <v>1</v>
      </c>
      <c r="D807" s="16">
        <v>107.9</v>
      </c>
      <c r="E807" s="17">
        <f t="shared" si="36"/>
        <v>107.9</v>
      </c>
      <c r="F807" s="18">
        <f t="shared" si="37"/>
        <v>2</v>
      </c>
      <c r="G807" s="18" t="str">
        <f t="shared" si="38"/>
        <v>Sem premiação</v>
      </c>
    </row>
    <row r="808" spans="2:7" ht="20.100000000000001" customHeight="1" x14ac:dyDescent="0.25">
      <c r="B808" s="14" t="s">
        <v>869</v>
      </c>
      <c r="C808" s="15">
        <v>1</v>
      </c>
      <c r="D808" s="16">
        <v>91.72</v>
      </c>
      <c r="E808" s="17">
        <f t="shared" si="36"/>
        <v>91.72</v>
      </c>
      <c r="F808" s="18">
        <f t="shared" si="37"/>
        <v>1</v>
      </c>
      <c r="G808" s="18" t="str">
        <f t="shared" si="38"/>
        <v>Sem premiação</v>
      </c>
    </row>
    <row r="809" spans="2:7" ht="20.100000000000001" customHeight="1" x14ac:dyDescent="0.25">
      <c r="B809" s="14" t="s">
        <v>870</v>
      </c>
      <c r="C809" s="15">
        <v>1</v>
      </c>
      <c r="D809" s="16">
        <v>53.91</v>
      </c>
      <c r="E809" s="17">
        <f t="shared" si="36"/>
        <v>53.91</v>
      </c>
      <c r="F809" s="18">
        <f t="shared" si="37"/>
        <v>1</v>
      </c>
      <c r="G809" s="18" t="str">
        <f t="shared" si="38"/>
        <v>Sem premiação</v>
      </c>
    </row>
    <row r="810" spans="2:7" ht="20.100000000000001" customHeight="1" x14ac:dyDescent="0.25">
      <c r="B810" s="14" t="s">
        <v>871</v>
      </c>
      <c r="C810" s="15">
        <v>1</v>
      </c>
      <c r="D810" s="16">
        <v>74.61</v>
      </c>
      <c r="E810" s="17">
        <f t="shared" si="36"/>
        <v>74.61</v>
      </c>
      <c r="F810" s="18">
        <f t="shared" si="37"/>
        <v>1</v>
      </c>
      <c r="G810" s="18" t="str">
        <f t="shared" si="38"/>
        <v>Sem premiação</v>
      </c>
    </row>
    <row r="811" spans="2:7" ht="20.100000000000001" customHeight="1" x14ac:dyDescent="0.25">
      <c r="B811" s="14" t="s">
        <v>872</v>
      </c>
      <c r="C811" s="15">
        <v>1</v>
      </c>
      <c r="D811" s="16">
        <v>330.06</v>
      </c>
      <c r="E811" s="17">
        <f t="shared" si="36"/>
        <v>330.06</v>
      </c>
      <c r="F811" s="18">
        <f t="shared" si="37"/>
        <v>6</v>
      </c>
      <c r="G811" s="18" t="str">
        <f t="shared" si="38"/>
        <v>Sem premiação</v>
      </c>
    </row>
    <row r="812" spans="2:7" ht="20.100000000000001" customHeight="1" x14ac:dyDescent="0.25">
      <c r="B812" s="14" t="s">
        <v>873</v>
      </c>
      <c r="C812" s="15">
        <v>1</v>
      </c>
      <c r="D812" s="16">
        <v>100.71</v>
      </c>
      <c r="E812" s="17">
        <f t="shared" si="36"/>
        <v>100.71</v>
      </c>
      <c r="F812" s="18">
        <f t="shared" si="37"/>
        <v>2</v>
      </c>
      <c r="G812" s="18" t="str">
        <f t="shared" si="38"/>
        <v>Sem premiação</v>
      </c>
    </row>
    <row r="813" spans="2:7" ht="20.100000000000001" customHeight="1" x14ac:dyDescent="0.25">
      <c r="B813" s="14" t="s">
        <v>874</v>
      </c>
      <c r="C813" s="15">
        <v>1</v>
      </c>
      <c r="D813" s="16">
        <v>215.01</v>
      </c>
      <c r="E813" s="17">
        <f t="shared" si="36"/>
        <v>215.01</v>
      </c>
      <c r="F813" s="18">
        <f t="shared" si="37"/>
        <v>4</v>
      </c>
      <c r="G813" s="18" t="str">
        <f t="shared" si="38"/>
        <v>Sem premiação</v>
      </c>
    </row>
    <row r="814" spans="2:7" ht="20.100000000000001" customHeight="1" x14ac:dyDescent="0.25">
      <c r="B814" s="14" t="s">
        <v>875</v>
      </c>
      <c r="C814" s="15">
        <v>1</v>
      </c>
      <c r="D814" s="16">
        <v>209.01</v>
      </c>
      <c r="E814" s="17">
        <f t="shared" si="36"/>
        <v>209.01</v>
      </c>
      <c r="F814" s="18">
        <f t="shared" si="37"/>
        <v>4</v>
      </c>
      <c r="G814" s="18" t="str">
        <f t="shared" si="38"/>
        <v>Sem premiação</v>
      </c>
    </row>
    <row r="815" spans="2:7" ht="20.100000000000001" customHeight="1" x14ac:dyDescent="0.25">
      <c r="B815" s="14" t="s">
        <v>876</v>
      </c>
      <c r="C815" s="15">
        <v>1</v>
      </c>
      <c r="D815" s="16">
        <v>64.58</v>
      </c>
      <c r="E815" s="17">
        <f t="shared" si="36"/>
        <v>64.58</v>
      </c>
      <c r="F815" s="18">
        <f t="shared" si="37"/>
        <v>1</v>
      </c>
      <c r="G815" s="18" t="str">
        <f t="shared" si="38"/>
        <v>Sem premiação</v>
      </c>
    </row>
    <row r="816" spans="2:7" ht="20.100000000000001" customHeight="1" x14ac:dyDescent="0.25">
      <c r="B816" s="14" t="s">
        <v>877</v>
      </c>
      <c r="C816" s="15">
        <v>1</v>
      </c>
      <c r="D816" s="16">
        <v>59.9</v>
      </c>
      <c r="E816" s="17">
        <f t="shared" si="36"/>
        <v>59.9</v>
      </c>
      <c r="F816" s="18">
        <f t="shared" si="37"/>
        <v>1</v>
      </c>
      <c r="G816" s="18" t="str">
        <f t="shared" si="38"/>
        <v>Sem premiação</v>
      </c>
    </row>
    <row r="817" spans="2:7" ht="20.100000000000001" customHeight="1" x14ac:dyDescent="0.25">
      <c r="B817" s="14" t="s">
        <v>878</v>
      </c>
      <c r="C817" s="15">
        <v>1</v>
      </c>
      <c r="D817" s="16">
        <v>87.21</v>
      </c>
      <c r="E817" s="17">
        <f t="shared" si="36"/>
        <v>87.21</v>
      </c>
      <c r="F817" s="18">
        <f t="shared" si="37"/>
        <v>1</v>
      </c>
      <c r="G817" s="18" t="str">
        <f t="shared" si="38"/>
        <v>Sem premiação</v>
      </c>
    </row>
    <row r="818" spans="2:7" ht="20.100000000000001" customHeight="1" x14ac:dyDescent="0.25">
      <c r="B818" s="14" t="s">
        <v>879</v>
      </c>
      <c r="C818" s="15">
        <v>1</v>
      </c>
      <c r="D818" s="16">
        <v>252.62</v>
      </c>
      <c r="E818" s="17">
        <f t="shared" si="36"/>
        <v>252.62</v>
      </c>
      <c r="F818" s="18">
        <f t="shared" si="37"/>
        <v>5</v>
      </c>
      <c r="G818" s="18" t="str">
        <f t="shared" si="38"/>
        <v>Sem premiação</v>
      </c>
    </row>
    <row r="819" spans="2:7" ht="20.100000000000001" customHeight="1" x14ac:dyDescent="0.25">
      <c r="B819" s="14" t="s">
        <v>880</v>
      </c>
      <c r="C819" s="15">
        <v>1</v>
      </c>
      <c r="D819" s="16">
        <v>78.900000000000006</v>
      </c>
      <c r="E819" s="17">
        <f t="shared" si="36"/>
        <v>78.900000000000006</v>
      </c>
      <c r="F819" s="18">
        <f t="shared" si="37"/>
        <v>1</v>
      </c>
      <c r="G819" s="18" t="str">
        <f t="shared" si="38"/>
        <v>Sem premiação</v>
      </c>
    </row>
    <row r="820" spans="2:7" ht="20.100000000000001" customHeight="1" x14ac:dyDescent="0.25">
      <c r="B820" s="14" t="s">
        <v>881</v>
      </c>
      <c r="C820" s="15">
        <v>1</v>
      </c>
      <c r="D820" s="16">
        <v>82.71</v>
      </c>
      <c r="E820" s="17">
        <f t="shared" si="36"/>
        <v>82.71</v>
      </c>
      <c r="F820" s="18">
        <f t="shared" si="37"/>
        <v>1</v>
      </c>
      <c r="G820" s="18" t="str">
        <f t="shared" si="38"/>
        <v>Sem premiação</v>
      </c>
    </row>
    <row r="821" spans="2:7" ht="20.100000000000001" customHeight="1" x14ac:dyDescent="0.25">
      <c r="B821" s="14" t="s">
        <v>882</v>
      </c>
      <c r="C821" s="15">
        <v>1</v>
      </c>
      <c r="D821" s="16">
        <v>199.26</v>
      </c>
      <c r="E821" s="17">
        <f t="shared" si="36"/>
        <v>199.26</v>
      </c>
      <c r="F821" s="18">
        <f t="shared" si="37"/>
        <v>3</v>
      </c>
      <c r="G821" s="18" t="str">
        <f t="shared" si="38"/>
        <v>Sem premiação</v>
      </c>
    </row>
    <row r="822" spans="2:7" ht="20.100000000000001" customHeight="1" x14ac:dyDescent="0.25">
      <c r="B822" s="14" t="s">
        <v>883</v>
      </c>
      <c r="C822" s="15">
        <v>1</v>
      </c>
      <c r="D822" s="16">
        <v>100.71</v>
      </c>
      <c r="E822" s="17">
        <f t="shared" si="36"/>
        <v>100.71</v>
      </c>
      <c r="F822" s="18">
        <f t="shared" si="37"/>
        <v>2</v>
      </c>
      <c r="G822" s="18" t="str">
        <f t="shared" si="38"/>
        <v>Sem premiação</v>
      </c>
    </row>
    <row r="823" spans="2:7" ht="20.100000000000001" customHeight="1" x14ac:dyDescent="0.25">
      <c r="B823" s="14" t="s">
        <v>884</v>
      </c>
      <c r="C823" s="15">
        <v>1</v>
      </c>
      <c r="D823" s="16">
        <v>119.77</v>
      </c>
      <c r="E823" s="17">
        <f t="shared" si="36"/>
        <v>119.77</v>
      </c>
      <c r="F823" s="18">
        <f t="shared" si="37"/>
        <v>2</v>
      </c>
      <c r="G823" s="18" t="str">
        <f t="shared" si="38"/>
        <v>Sem premiação</v>
      </c>
    </row>
    <row r="824" spans="2:7" ht="20.100000000000001" customHeight="1" x14ac:dyDescent="0.25">
      <c r="B824" s="14" t="s">
        <v>885</v>
      </c>
      <c r="C824" s="15">
        <v>1</v>
      </c>
      <c r="D824" s="16">
        <v>58.44</v>
      </c>
      <c r="E824" s="17">
        <f t="shared" si="36"/>
        <v>58.44</v>
      </c>
      <c r="F824" s="18">
        <f t="shared" si="37"/>
        <v>1</v>
      </c>
      <c r="G824" s="18" t="str">
        <f t="shared" si="38"/>
        <v>Sem premiação</v>
      </c>
    </row>
    <row r="825" spans="2:7" ht="20.100000000000001" customHeight="1" x14ac:dyDescent="0.25">
      <c r="B825" s="14" t="s">
        <v>886</v>
      </c>
      <c r="C825" s="15">
        <v>1</v>
      </c>
      <c r="D825" s="16">
        <v>157.16</v>
      </c>
      <c r="E825" s="17">
        <f t="shared" si="36"/>
        <v>157.16</v>
      </c>
      <c r="F825" s="18">
        <f t="shared" si="37"/>
        <v>3</v>
      </c>
      <c r="G825" s="18" t="str">
        <f t="shared" si="38"/>
        <v>Sem premiação</v>
      </c>
    </row>
    <row r="826" spans="2:7" ht="20.100000000000001" customHeight="1" x14ac:dyDescent="0.25">
      <c r="B826" s="14" t="s">
        <v>887</v>
      </c>
      <c r="C826" s="15">
        <v>1</v>
      </c>
      <c r="D826" s="16">
        <v>87.21</v>
      </c>
      <c r="E826" s="17">
        <f t="shared" si="36"/>
        <v>87.21</v>
      </c>
      <c r="F826" s="18">
        <f t="shared" si="37"/>
        <v>1</v>
      </c>
      <c r="G826" s="18" t="str">
        <f t="shared" si="38"/>
        <v>Sem premiação</v>
      </c>
    </row>
    <row r="827" spans="2:7" ht="20.100000000000001" customHeight="1" x14ac:dyDescent="0.25">
      <c r="B827" s="14" t="s">
        <v>888</v>
      </c>
      <c r="C827" s="15">
        <v>1</v>
      </c>
      <c r="D827" s="16">
        <v>59.9</v>
      </c>
      <c r="E827" s="17">
        <f t="shared" si="36"/>
        <v>59.9</v>
      </c>
      <c r="F827" s="18">
        <f t="shared" si="37"/>
        <v>1</v>
      </c>
      <c r="G827" s="18" t="str">
        <f t="shared" si="38"/>
        <v>Sem premiação</v>
      </c>
    </row>
    <row r="828" spans="2:7" ht="20.100000000000001" customHeight="1" x14ac:dyDescent="0.25">
      <c r="B828" s="14" t="s">
        <v>889</v>
      </c>
      <c r="C828" s="15">
        <v>1</v>
      </c>
      <c r="D828" s="16">
        <v>59.31</v>
      </c>
      <c r="E828" s="17">
        <f t="shared" si="36"/>
        <v>59.31</v>
      </c>
      <c r="F828" s="18">
        <f t="shared" si="37"/>
        <v>1</v>
      </c>
      <c r="G828" s="18" t="str">
        <f t="shared" si="38"/>
        <v>Sem premiação</v>
      </c>
    </row>
    <row r="829" spans="2:7" ht="20.100000000000001" customHeight="1" x14ac:dyDescent="0.25">
      <c r="B829" s="14" t="s">
        <v>890</v>
      </c>
      <c r="C829" s="15">
        <v>1</v>
      </c>
      <c r="D829" s="16">
        <v>126.9</v>
      </c>
      <c r="E829" s="17">
        <f t="shared" si="36"/>
        <v>126.9</v>
      </c>
      <c r="F829" s="18">
        <f t="shared" si="37"/>
        <v>2</v>
      </c>
      <c r="G829" s="18" t="str">
        <f t="shared" si="38"/>
        <v>Sem premiação</v>
      </c>
    </row>
    <row r="830" spans="2:7" ht="20.100000000000001" customHeight="1" x14ac:dyDescent="0.25">
      <c r="B830" s="14" t="s">
        <v>891</v>
      </c>
      <c r="C830" s="15">
        <v>1</v>
      </c>
      <c r="D830" s="16">
        <v>78.900000000000006</v>
      </c>
      <c r="E830" s="17">
        <f t="shared" si="36"/>
        <v>78.900000000000006</v>
      </c>
      <c r="F830" s="18">
        <f t="shared" si="37"/>
        <v>1</v>
      </c>
      <c r="G830" s="18" t="str">
        <f t="shared" si="38"/>
        <v>Sem premiação</v>
      </c>
    </row>
    <row r="831" spans="2:7" ht="20.100000000000001" customHeight="1" x14ac:dyDescent="0.25">
      <c r="B831" s="14" t="s">
        <v>892</v>
      </c>
      <c r="C831" s="15">
        <v>1</v>
      </c>
      <c r="D831" s="16">
        <v>82.71</v>
      </c>
      <c r="E831" s="17">
        <f t="shared" si="36"/>
        <v>82.71</v>
      </c>
      <c r="F831" s="18">
        <f t="shared" si="37"/>
        <v>1</v>
      </c>
      <c r="G831" s="18" t="str">
        <f t="shared" si="38"/>
        <v>Sem premiação</v>
      </c>
    </row>
    <row r="832" spans="2:7" ht="20.100000000000001" customHeight="1" x14ac:dyDescent="0.25">
      <c r="B832" s="14" t="s">
        <v>893</v>
      </c>
      <c r="C832" s="15">
        <v>1</v>
      </c>
      <c r="D832" s="16">
        <v>95.31</v>
      </c>
      <c r="E832" s="17">
        <f t="shared" si="36"/>
        <v>95.31</v>
      </c>
      <c r="F832" s="18">
        <f t="shared" si="37"/>
        <v>1</v>
      </c>
      <c r="G832" s="18" t="str">
        <f t="shared" si="38"/>
        <v>Sem premiação</v>
      </c>
    </row>
    <row r="833" spans="2:7" ht="20.100000000000001" customHeight="1" x14ac:dyDescent="0.25">
      <c r="B833" s="14" t="s">
        <v>894</v>
      </c>
      <c r="C833" s="15">
        <v>1</v>
      </c>
      <c r="D833" s="16">
        <v>59.31</v>
      </c>
      <c r="E833" s="17">
        <f t="shared" si="36"/>
        <v>59.31</v>
      </c>
      <c r="F833" s="18">
        <f t="shared" si="37"/>
        <v>1</v>
      </c>
      <c r="G833" s="18" t="str">
        <f t="shared" si="38"/>
        <v>Sem premiação</v>
      </c>
    </row>
    <row r="834" spans="2:7" ht="20.100000000000001" customHeight="1" x14ac:dyDescent="0.25">
      <c r="B834" s="14" t="s">
        <v>895</v>
      </c>
      <c r="C834" s="15">
        <v>1</v>
      </c>
      <c r="D834" s="16">
        <v>59.31</v>
      </c>
      <c r="E834" s="17">
        <f t="shared" si="36"/>
        <v>59.31</v>
      </c>
      <c r="F834" s="18">
        <f t="shared" si="37"/>
        <v>1</v>
      </c>
      <c r="G834" s="18" t="str">
        <f t="shared" si="38"/>
        <v>Sem premiação</v>
      </c>
    </row>
    <row r="835" spans="2:7" ht="20.100000000000001" customHeight="1" x14ac:dyDescent="0.25">
      <c r="B835" s="14" t="s">
        <v>896</v>
      </c>
      <c r="C835" s="15">
        <v>1</v>
      </c>
      <c r="D835" s="16">
        <v>205.62</v>
      </c>
      <c r="E835" s="17">
        <f t="shared" si="36"/>
        <v>205.62</v>
      </c>
      <c r="F835" s="18">
        <f t="shared" si="37"/>
        <v>4</v>
      </c>
      <c r="G835" s="18" t="str">
        <f t="shared" si="38"/>
        <v>Sem premiação</v>
      </c>
    </row>
    <row r="836" spans="2:7" ht="20.100000000000001" customHeight="1" x14ac:dyDescent="0.25">
      <c r="B836" s="14" t="s">
        <v>897</v>
      </c>
      <c r="C836" s="15">
        <v>1</v>
      </c>
      <c r="D836" s="16">
        <v>74.430000000000007</v>
      </c>
      <c r="E836" s="17">
        <f t="shared" ref="E836:E899" si="39">D836/C836</f>
        <v>74.430000000000007</v>
      </c>
      <c r="F836" s="18">
        <f t="shared" ref="F836:F899" si="40">IFERROR(C836*_xlfn.XLOOKUP(E836,$J$4:$J$13,$K$4:$K$13,0,-1),0)</f>
        <v>1</v>
      </c>
      <c r="G836" s="18" t="str">
        <f t="shared" ref="G836:G899" si="41">IFERROR(VLOOKUP(F836,$J$16:$K$19,2,TRUE),"SEM PREMIAÇÃO")</f>
        <v>Sem premiação</v>
      </c>
    </row>
    <row r="837" spans="2:7" ht="20.100000000000001" customHeight="1" x14ac:dyDescent="0.25">
      <c r="B837" s="14" t="s">
        <v>898</v>
      </c>
      <c r="C837" s="15">
        <v>1</v>
      </c>
      <c r="D837" s="16">
        <v>72.81</v>
      </c>
      <c r="E837" s="17">
        <f t="shared" si="39"/>
        <v>72.81</v>
      </c>
      <c r="F837" s="18">
        <f t="shared" si="40"/>
        <v>1</v>
      </c>
      <c r="G837" s="18" t="str">
        <f t="shared" si="41"/>
        <v>Sem premiação</v>
      </c>
    </row>
    <row r="838" spans="2:7" ht="20.100000000000001" customHeight="1" x14ac:dyDescent="0.25">
      <c r="B838" s="14" t="s">
        <v>899</v>
      </c>
      <c r="C838" s="15">
        <v>1</v>
      </c>
      <c r="D838" s="16">
        <v>97.56</v>
      </c>
      <c r="E838" s="17">
        <f t="shared" si="39"/>
        <v>97.56</v>
      </c>
      <c r="F838" s="18">
        <f t="shared" si="40"/>
        <v>1</v>
      </c>
      <c r="G838" s="18" t="str">
        <f t="shared" si="41"/>
        <v>Sem premiação</v>
      </c>
    </row>
    <row r="839" spans="2:7" ht="20.100000000000001" customHeight="1" x14ac:dyDescent="0.25">
      <c r="B839" s="14" t="s">
        <v>900</v>
      </c>
      <c r="C839" s="15">
        <v>1</v>
      </c>
      <c r="D839" s="16">
        <v>82.71</v>
      </c>
      <c r="E839" s="17">
        <f t="shared" si="39"/>
        <v>82.71</v>
      </c>
      <c r="F839" s="18">
        <f t="shared" si="40"/>
        <v>1</v>
      </c>
      <c r="G839" s="18" t="str">
        <f t="shared" si="41"/>
        <v>Sem premiação</v>
      </c>
    </row>
    <row r="840" spans="2:7" ht="20.100000000000001" customHeight="1" x14ac:dyDescent="0.25">
      <c r="B840" s="14" t="s">
        <v>901</v>
      </c>
      <c r="C840" s="15">
        <v>1</v>
      </c>
      <c r="D840" s="16">
        <v>59.9</v>
      </c>
      <c r="E840" s="17">
        <f t="shared" si="39"/>
        <v>59.9</v>
      </c>
      <c r="F840" s="18">
        <f t="shared" si="40"/>
        <v>1</v>
      </c>
      <c r="G840" s="18" t="str">
        <f t="shared" si="41"/>
        <v>Sem premiação</v>
      </c>
    </row>
    <row r="841" spans="2:7" ht="20.100000000000001" customHeight="1" x14ac:dyDescent="0.25">
      <c r="B841" s="14" t="s">
        <v>902</v>
      </c>
      <c r="C841" s="15">
        <v>1</v>
      </c>
      <c r="D841" s="16">
        <v>100.71</v>
      </c>
      <c r="E841" s="17">
        <f t="shared" si="39"/>
        <v>100.71</v>
      </c>
      <c r="F841" s="18">
        <f t="shared" si="40"/>
        <v>2</v>
      </c>
      <c r="G841" s="18" t="str">
        <f t="shared" si="41"/>
        <v>Sem premiação</v>
      </c>
    </row>
    <row r="842" spans="2:7" ht="20.100000000000001" customHeight="1" x14ac:dyDescent="0.25">
      <c r="B842" s="14" t="s">
        <v>903</v>
      </c>
      <c r="C842" s="15">
        <v>1</v>
      </c>
      <c r="D842" s="16">
        <v>221.9</v>
      </c>
      <c r="E842" s="17">
        <f t="shared" si="39"/>
        <v>221.9</v>
      </c>
      <c r="F842" s="18">
        <f t="shared" si="40"/>
        <v>4</v>
      </c>
      <c r="G842" s="18" t="str">
        <f t="shared" si="41"/>
        <v>Sem premiação</v>
      </c>
    </row>
    <row r="843" spans="2:7" ht="20.100000000000001" customHeight="1" x14ac:dyDescent="0.25">
      <c r="B843" s="14" t="s">
        <v>904</v>
      </c>
      <c r="C843" s="15">
        <v>1</v>
      </c>
      <c r="D843" s="16">
        <v>165.66</v>
      </c>
      <c r="E843" s="17">
        <f t="shared" si="39"/>
        <v>165.66</v>
      </c>
      <c r="F843" s="18">
        <f t="shared" si="40"/>
        <v>3</v>
      </c>
      <c r="G843" s="18" t="str">
        <f t="shared" si="41"/>
        <v>Sem premiação</v>
      </c>
    </row>
    <row r="844" spans="2:7" ht="20.100000000000001" customHeight="1" x14ac:dyDescent="0.25">
      <c r="B844" s="14" t="s">
        <v>905</v>
      </c>
      <c r="C844" s="15">
        <v>1</v>
      </c>
      <c r="D844" s="16">
        <v>115.11</v>
      </c>
      <c r="E844" s="17">
        <f t="shared" si="39"/>
        <v>115.11</v>
      </c>
      <c r="F844" s="18">
        <f t="shared" si="40"/>
        <v>2</v>
      </c>
      <c r="G844" s="18" t="str">
        <f t="shared" si="41"/>
        <v>Sem premiação</v>
      </c>
    </row>
    <row r="845" spans="2:7" ht="20.100000000000001" customHeight="1" x14ac:dyDescent="0.25">
      <c r="B845" s="14" t="s">
        <v>906</v>
      </c>
      <c r="C845" s="15">
        <v>1</v>
      </c>
      <c r="D845" s="16">
        <v>88.11</v>
      </c>
      <c r="E845" s="17">
        <f t="shared" si="39"/>
        <v>88.11</v>
      </c>
      <c r="F845" s="18">
        <f t="shared" si="40"/>
        <v>1</v>
      </c>
      <c r="G845" s="18" t="str">
        <f t="shared" si="41"/>
        <v>Sem premiação</v>
      </c>
    </row>
    <row r="846" spans="2:7" ht="20.100000000000001" customHeight="1" x14ac:dyDescent="0.25">
      <c r="B846" s="14" t="s">
        <v>907</v>
      </c>
      <c r="C846" s="15">
        <v>1</v>
      </c>
      <c r="D846" s="16">
        <v>325.45999999999998</v>
      </c>
      <c r="E846" s="17">
        <f t="shared" si="39"/>
        <v>325.45999999999998</v>
      </c>
      <c r="F846" s="18">
        <f t="shared" si="40"/>
        <v>6</v>
      </c>
      <c r="G846" s="18" t="str">
        <f t="shared" si="41"/>
        <v>Sem premiação</v>
      </c>
    </row>
    <row r="847" spans="2:7" ht="20.100000000000001" customHeight="1" x14ac:dyDescent="0.25">
      <c r="B847" s="14" t="s">
        <v>908</v>
      </c>
      <c r="C847" s="15">
        <v>1</v>
      </c>
      <c r="D847" s="16">
        <v>69.209999999999994</v>
      </c>
      <c r="E847" s="17">
        <f t="shared" si="39"/>
        <v>69.209999999999994</v>
      </c>
      <c r="F847" s="18">
        <f t="shared" si="40"/>
        <v>1</v>
      </c>
      <c r="G847" s="18" t="str">
        <f t="shared" si="41"/>
        <v>Sem premiação</v>
      </c>
    </row>
    <row r="848" spans="2:7" ht="20.100000000000001" customHeight="1" x14ac:dyDescent="0.25">
      <c r="B848" s="14" t="s">
        <v>909</v>
      </c>
      <c r="C848" s="15">
        <v>1</v>
      </c>
      <c r="D848" s="16">
        <v>160.56</v>
      </c>
      <c r="E848" s="17">
        <f t="shared" si="39"/>
        <v>160.56</v>
      </c>
      <c r="F848" s="18">
        <f t="shared" si="40"/>
        <v>3</v>
      </c>
      <c r="G848" s="18" t="str">
        <f t="shared" si="41"/>
        <v>Sem premiação</v>
      </c>
    </row>
    <row r="849" spans="2:7" ht="20.100000000000001" customHeight="1" x14ac:dyDescent="0.25">
      <c r="B849" s="14" t="s">
        <v>910</v>
      </c>
      <c r="C849" s="15">
        <v>1</v>
      </c>
      <c r="D849" s="16">
        <v>181.71</v>
      </c>
      <c r="E849" s="17">
        <f t="shared" si="39"/>
        <v>181.71</v>
      </c>
      <c r="F849" s="18">
        <f t="shared" si="40"/>
        <v>3</v>
      </c>
      <c r="G849" s="18" t="str">
        <f t="shared" si="41"/>
        <v>Sem premiação</v>
      </c>
    </row>
    <row r="850" spans="2:7" ht="20.100000000000001" customHeight="1" x14ac:dyDescent="0.25">
      <c r="B850" s="14" t="s">
        <v>911</v>
      </c>
      <c r="C850" s="15">
        <v>1</v>
      </c>
      <c r="D850" s="16">
        <v>227.72</v>
      </c>
      <c r="E850" s="17">
        <f t="shared" si="39"/>
        <v>227.72</v>
      </c>
      <c r="F850" s="18">
        <f t="shared" si="40"/>
        <v>4</v>
      </c>
      <c r="G850" s="18" t="str">
        <f t="shared" si="41"/>
        <v>Sem premiação</v>
      </c>
    </row>
    <row r="851" spans="2:7" ht="20.100000000000001" customHeight="1" x14ac:dyDescent="0.25">
      <c r="B851" s="14" t="s">
        <v>912</v>
      </c>
      <c r="C851" s="15">
        <v>1</v>
      </c>
      <c r="D851" s="16">
        <v>112.51</v>
      </c>
      <c r="E851" s="17">
        <f t="shared" si="39"/>
        <v>112.51</v>
      </c>
      <c r="F851" s="18">
        <f t="shared" si="40"/>
        <v>2</v>
      </c>
      <c r="G851" s="18" t="str">
        <f t="shared" si="41"/>
        <v>Sem premiação</v>
      </c>
    </row>
    <row r="852" spans="2:7" ht="20.100000000000001" customHeight="1" x14ac:dyDescent="0.25">
      <c r="B852" s="14" t="s">
        <v>913</v>
      </c>
      <c r="C852" s="15">
        <v>1</v>
      </c>
      <c r="D852" s="16">
        <v>74.61</v>
      </c>
      <c r="E852" s="17">
        <f t="shared" si="39"/>
        <v>74.61</v>
      </c>
      <c r="F852" s="18">
        <f t="shared" si="40"/>
        <v>1</v>
      </c>
      <c r="G852" s="18" t="str">
        <f t="shared" si="41"/>
        <v>Sem premiação</v>
      </c>
    </row>
    <row r="853" spans="2:7" ht="20.100000000000001" customHeight="1" x14ac:dyDescent="0.25">
      <c r="B853" s="14" t="s">
        <v>914</v>
      </c>
      <c r="C853" s="15">
        <v>1</v>
      </c>
      <c r="D853" s="16">
        <v>59.31</v>
      </c>
      <c r="E853" s="17">
        <f t="shared" si="39"/>
        <v>59.31</v>
      </c>
      <c r="F853" s="18">
        <f t="shared" si="40"/>
        <v>1</v>
      </c>
      <c r="G853" s="18" t="str">
        <f t="shared" si="41"/>
        <v>Sem premiação</v>
      </c>
    </row>
    <row r="854" spans="2:7" ht="20.100000000000001" customHeight="1" x14ac:dyDescent="0.25">
      <c r="B854" s="14" t="s">
        <v>915</v>
      </c>
      <c r="C854" s="15">
        <v>1</v>
      </c>
      <c r="D854" s="16">
        <v>82.36</v>
      </c>
      <c r="E854" s="17">
        <f t="shared" si="39"/>
        <v>82.36</v>
      </c>
      <c r="F854" s="18">
        <f t="shared" si="40"/>
        <v>1</v>
      </c>
      <c r="G854" s="18" t="str">
        <f t="shared" si="41"/>
        <v>Sem premiação</v>
      </c>
    </row>
    <row r="855" spans="2:7" ht="20.100000000000001" customHeight="1" x14ac:dyDescent="0.25">
      <c r="B855" s="14" t="s">
        <v>916</v>
      </c>
      <c r="C855" s="15">
        <v>1</v>
      </c>
      <c r="D855" s="16">
        <v>63.81</v>
      </c>
      <c r="E855" s="17">
        <f t="shared" si="39"/>
        <v>63.81</v>
      </c>
      <c r="F855" s="18">
        <f t="shared" si="40"/>
        <v>1</v>
      </c>
      <c r="G855" s="18" t="str">
        <f t="shared" si="41"/>
        <v>Sem premiação</v>
      </c>
    </row>
    <row r="856" spans="2:7" ht="20.100000000000001" customHeight="1" x14ac:dyDescent="0.25">
      <c r="B856" s="14" t="s">
        <v>917</v>
      </c>
      <c r="C856" s="15">
        <v>1</v>
      </c>
      <c r="D856" s="16">
        <v>155.71</v>
      </c>
      <c r="E856" s="17">
        <f t="shared" si="39"/>
        <v>155.71</v>
      </c>
      <c r="F856" s="18">
        <f t="shared" si="40"/>
        <v>3</v>
      </c>
      <c r="G856" s="18" t="str">
        <f t="shared" si="41"/>
        <v>Sem premiação</v>
      </c>
    </row>
    <row r="857" spans="2:7" ht="20.100000000000001" customHeight="1" x14ac:dyDescent="0.25">
      <c r="B857" s="14" t="s">
        <v>918</v>
      </c>
      <c r="C857" s="15">
        <v>1</v>
      </c>
      <c r="D857" s="16">
        <v>97.67</v>
      </c>
      <c r="E857" s="17">
        <f t="shared" si="39"/>
        <v>97.67</v>
      </c>
      <c r="F857" s="18">
        <f t="shared" si="40"/>
        <v>1</v>
      </c>
      <c r="G857" s="18" t="str">
        <f t="shared" si="41"/>
        <v>Sem premiação</v>
      </c>
    </row>
    <row r="858" spans="2:7" ht="20.100000000000001" customHeight="1" x14ac:dyDescent="0.25">
      <c r="B858" s="14" t="s">
        <v>919</v>
      </c>
      <c r="C858" s="15">
        <v>1</v>
      </c>
      <c r="D858" s="16">
        <v>104.9</v>
      </c>
      <c r="E858" s="17">
        <f t="shared" si="39"/>
        <v>104.9</v>
      </c>
      <c r="F858" s="18">
        <f t="shared" si="40"/>
        <v>2</v>
      </c>
      <c r="G858" s="18" t="str">
        <f t="shared" si="41"/>
        <v>Sem premiação</v>
      </c>
    </row>
    <row r="859" spans="2:7" ht="20.100000000000001" customHeight="1" x14ac:dyDescent="0.25">
      <c r="B859" s="14" t="s">
        <v>920</v>
      </c>
      <c r="C859" s="15">
        <v>1</v>
      </c>
      <c r="D859" s="16">
        <v>80.900000000000006</v>
      </c>
      <c r="E859" s="17">
        <f t="shared" si="39"/>
        <v>80.900000000000006</v>
      </c>
      <c r="F859" s="18">
        <f t="shared" si="40"/>
        <v>1</v>
      </c>
      <c r="G859" s="18" t="str">
        <f t="shared" si="41"/>
        <v>Sem premiação</v>
      </c>
    </row>
    <row r="860" spans="2:7" ht="20.100000000000001" customHeight="1" x14ac:dyDescent="0.25">
      <c r="B860" s="14" t="s">
        <v>921</v>
      </c>
      <c r="C860" s="15">
        <v>1</v>
      </c>
      <c r="D860" s="16">
        <v>220</v>
      </c>
      <c r="E860" s="17">
        <f t="shared" si="39"/>
        <v>220</v>
      </c>
      <c r="F860" s="18">
        <f t="shared" si="40"/>
        <v>4</v>
      </c>
      <c r="G860" s="18" t="str">
        <f t="shared" si="41"/>
        <v>Sem premiação</v>
      </c>
    </row>
    <row r="861" spans="2:7" ht="20.100000000000001" customHeight="1" x14ac:dyDescent="0.25">
      <c r="B861" s="14" t="s">
        <v>922</v>
      </c>
      <c r="C861" s="15">
        <v>1</v>
      </c>
      <c r="D861" s="16">
        <v>217.51</v>
      </c>
      <c r="E861" s="17">
        <f t="shared" si="39"/>
        <v>217.51</v>
      </c>
      <c r="F861" s="18">
        <f t="shared" si="40"/>
        <v>4</v>
      </c>
      <c r="G861" s="18" t="str">
        <f t="shared" si="41"/>
        <v>Sem premiação</v>
      </c>
    </row>
    <row r="862" spans="2:7" ht="20.100000000000001" customHeight="1" x14ac:dyDescent="0.25">
      <c r="B862" s="14" t="s">
        <v>923</v>
      </c>
      <c r="C862" s="15">
        <v>1</v>
      </c>
      <c r="D862" s="16">
        <v>69.209999999999994</v>
      </c>
      <c r="E862" s="17">
        <f t="shared" si="39"/>
        <v>69.209999999999994</v>
      </c>
      <c r="F862" s="18">
        <f t="shared" si="40"/>
        <v>1</v>
      </c>
      <c r="G862" s="18" t="str">
        <f t="shared" si="41"/>
        <v>Sem premiação</v>
      </c>
    </row>
    <row r="863" spans="2:7" ht="20.100000000000001" customHeight="1" x14ac:dyDescent="0.25">
      <c r="B863" s="14" t="s">
        <v>924</v>
      </c>
      <c r="C863" s="15">
        <v>1</v>
      </c>
      <c r="D863" s="16">
        <v>391.76</v>
      </c>
      <c r="E863" s="17">
        <f t="shared" si="39"/>
        <v>391.76</v>
      </c>
      <c r="F863" s="18">
        <f t="shared" si="40"/>
        <v>7</v>
      </c>
      <c r="G863" s="18" t="str">
        <f t="shared" si="41"/>
        <v>Sem premiação</v>
      </c>
    </row>
    <row r="864" spans="2:7" ht="20.100000000000001" customHeight="1" x14ac:dyDescent="0.25">
      <c r="B864" s="14" t="s">
        <v>925</v>
      </c>
      <c r="C864" s="15">
        <v>1</v>
      </c>
      <c r="D864" s="16">
        <v>188.62</v>
      </c>
      <c r="E864" s="17">
        <f t="shared" si="39"/>
        <v>188.62</v>
      </c>
      <c r="F864" s="18">
        <f t="shared" si="40"/>
        <v>3</v>
      </c>
      <c r="G864" s="18" t="str">
        <f t="shared" si="41"/>
        <v>Sem premiação</v>
      </c>
    </row>
    <row r="865" spans="2:7" ht="20.100000000000001" customHeight="1" x14ac:dyDescent="0.25">
      <c r="B865" s="14" t="s">
        <v>926</v>
      </c>
      <c r="C865" s="15">
        <v>1</v>
      </c>
      <c r="D865" s="16">
        <v>191.9</v>
      </c>
      <c r="E865" s="17">
        <f t="shared" si="39"/>
        <v>191.9</v>
      </c>
      <c r="F865" s="18">
        <f t="shared" si="40"/>
        <v>3</v>
      </c>
      <c r="G865" s="18" t="str">
        <f t="shared" si="41"/>
        <v>Sem premiação</v>
      </c>
    </row>
    <row r="866" spans="2:7" ht="20.100000000000001" customHeight="1" x14ac:dyDescent="0.25">
      <c r="B866" s="14" t="s">
        <v>927</v>
      </c>
      <c r="C866" s="15">
        <v>1</v>
      </c>
      <c r="D866" s="16">
        <v>355.53</v>
      </c>
      <c r="E866" s="17">
        <f t="shared" si="39"/>
        <v>355.53</v>
      </c>
      <c r="F866" s="18">
        <f t="shared" si="40"/>
        <v>7</v>
      </c>
      <c r="G866" s="18" t="str">
        <f t="shared" si="41"/>
        <v>Sem premiação</v>
      </c>
    </row>
    <row r="867" spans="2:7" ht="20.100000000000001" customHeight="1" x14ac:dyDescent="0.25">
      <c r="B867" s="14" t="s">
        <v>928</v>
      </c>
      <c r="C867" s="15">
        <v>1</v>
      </c>
      <c r="D867" s="16">
        <v>140.31</v>
      </c>
      <c r="E867" s="17">
        <f t="shared" si="39"/>
        <v>140.31</v>
      </c>
      <c r="F867" s="18">
        <f t="shared" si="40"/>
        <v>2</v>
      </c>
      <c r="G867" s="18" t="str">
        <f t="shared" si="41"/>
        <v>Sem premiação</v>
      </c>
    </row>
    <row r="868" spans="2:7" ht="20.100000000000001" customHeight="1" x14ac:dyDescent="0.25">
      <c r="B868" s="14" t="s">
        <v>929</v>
      </c>
      <c r="C868" s="15">
        <v>1</v>
      </c>
      <c r="D868" s="16">
        <v>328.9</v>
      </c>
      <c r="E868" s="17">
        <f t="shared" si="39"/>
        <v>328.9</v>
      </c>
      <c r="F868" s="18">
        <f t="shared" si="40"/>
        <v>6</v>
      </c>
      <c r="G868" s="18" t="str">
        <f t="shared" si="41"/>
        <v>Sem premiação</v>
      </c>
    </row>
    <row r="869" spans="2:7" ht="20.100000000000001" customHeight="1" x14ac:dyDescent="0.25">
      <c r="B869" s="14" t="s">
        <v>930</v>
      </c>
      <c r="C869" s="15">
        <v>1</v>
      </c>
      <c r="D869" s="16">
        <v>96.21</v>
      </c>
      <c r="E869" s="17">
        <f t="shared" si="39"/>
        <v>96.21</v>
      </c>
      <c r="F869" s="18">
        <f t="shared" si="40"/>
        <v>1</v>
      </c>
      <c r="G869" s="18" t="str">
        <f t="shared" si="41"/>
        <v>Sem premiação</v>
      </c>
    </row>
    <row r="870" spans="2:7" ht="20.100000000000001" customHeight="1" x14ac:dyDescent="0.25">
      <c r="B870" s="14" t="s">
        <v>931</v>
      </c>
      <c r="C870" s="15">
        <v>1</v>
      </c>
      <c r="D870" s="16">
        <v>53.38</v>
      </c>
      <c r="E870" s="17">
        <f t="shared" si="39"/>
        <v>53.38</v>
      </c>
      <c r="F870" s="18">
        <f t="shared" si="40"/>
        <v>1</v>
      </c>
      <c r="G870" s="18" t="str">
        <f t="shared" si="41"/>
        <v>Sem premiação</v>
      </c>
    </row>
    <row r="871" spans="2:7" ht="20.100000000000001" customHeight="1" x14ac:dyDescent="0.25">
      <c r="B871" s="14" t="s">
        <v>932</v>
      </c>
      <c r="C871" s="15">
        <v>1</v>
      </c>
      <c r="D871" s="16">
        <v>136.76</v>
      </c>
      <c r="E871" s="17">
        <f t="shared" si="39"/>
        <v>136.76</v>
      </c>
      <c r="F871" s="18">
        <f t="shared" si="40"/>
        <v>2</v>
      </c>
      <c r="G871" s="18" t="str">
        <f t="shared" si="41"/>
        <v>Sem premiação</v>
      </c>
    </row>
    <row r="872" spans="2:7" ht="20.100000000000001" customHeight="1" x14ac:dyDescent="0.25">
      <c r="B872" s="14" t="s">
        <v>933</v>
      </c>
      <c r="C872" s="15">
        <v>1</v>
      </c>
      <c r="D872" s="16">
        <v>95.31</v>
      </c>
      <c r="E872" s="17">
        <f t="shared" si="39"/>
        <v>95.31</v>
      </c>
      <c r="F872" s="18">
        <f t="shared" si="40"/>
        <v>1</v>
      </c>
      <c r="G872" s="18" t="str">
        <f t="shared" si="41"/>
        <v>Sem premiação</v>
      </c>
    </row>
    <row r="873" spans="2:7" ht="20.100000000000001" customHeight="1" x14ac:dyDescent="0.25">
      <c r="B873" s="14" t="s">
        <v>934</v>
      </c>
      <c r="C873" s="15">
        <v>1</v>
      </c>
      <c r="D873" s="16">
        <v>136.76</v>
      </c>
      <c r="E873" s="17">
        <f t="shared" si="39"/>
        <v>136.76</v>
      </c>
      <c r="F873" s="18">
        <f t="shared" si="40"/>
        <v>2</v>
      </c>
      <c r="G873" s="18" t="str">
        <f t="shared" si="41"/>
        <v>Sem premiação</v>
      </c>
    </row>
    <row r="874" spans="2:7" ht="20.100000000000001" customHeight="1" x14ac:dyDescent="0.25">
      <c r="B874" s="14" t="s">
        <v>935</v>
      </c>
      <c r="C874" s="15">
        <v>1</v>
      </c>
      <c r="D874" s="16">
        <v>92.11</v>
      </c>
      <c r="E874" s="17">
        <f t="shared" si="39"/>
        <v>92.11</v>
      </c>
      <c r="F874" s="18">
        <f t="shared" si="40"/>
        <v>1</v>
      </c>
      <c r="G874" s="18" t="str">
        <f t="shared" si="41"/>
        <v>Sem premiação</v>
      </c>
    </row>
    <row r="875" spans="2:7" ht="20.100000000000001" customHeight="1" x14ac:dyDescent="0.25">
      <c r="B875" s="14" t="s">
        <v>936</v>
      </c>
      <c r="C875" s="15">
        <v>1</v>
      </c>
      <c r="D875" s="16">
        <v>267.89999999999998</v>
      </c>
      <c r="E875" s="17">
        <f t="shared" si="39"/>
        <v>267.89999999999998</v>
      </c>
      <c r="F875" s="18">
        <f t="shared" si="40"/>
        <v>5</v>
      </c>
      <c r="G875" s="18" t="str">
        <f t="shared" si="41"/>
        <v>Sem premiação</v>
      </c>
    </row>
    <row r="876" spans="2:7" ht="20.100000000000001" customHeight="1" x14ac:dyDescent="0.25">
      <c r="B876" s="14" t="s">
        <v>937</v>
      </c>
      <c r="C876" s="15">
        <v>1</v>
      </c>
      <c r="D876" s="16">
        <v>124.9</v>
      </c>
      <c r="E876" s="17">
        <f t="shared" si="39"/>
        <v>124.9</v>
      </c>
      <c r="F876" s="18">
        <f t="shared" si="40"/>
        <v>2</v>
      </c>
      <c r="G876" s="18" t="str">
        <f t="shared" si="41"/>
        <v>Sem premiação</v>
      </c>
    </row>
    <row r="877" spans="2:7" ht="20.100000000000001" customHeight="1" x14ac:dyDescent="0.25">
      <c r="B877" s="14" t="s">
        <v>938</v>
      </c>
      <c r="C877" s="15">
        <v>1</v>
      </c>
      <c r="D877" s="16">
        <v>205.62</v>
      </c>
      <c r="E877" s="17">
        <f t="shared" si="39"/>
        <v>205.62</v>
      </c>
      <c r="F877" s="18">
        <f t="shared" si="40"/>
        <v>4</v>
      </c>
      <c r="G877" s="18" t="str">
        <f t="shared" si="41"/>
        <v>Sem premiação</v>
      </c>
    </row>
    <row r="878" spans="2:7" ht="20.100000000000001" customHeight="1" x14ac:dyDescent="0.25">
      <c r="B878" s="14" t="s">
        <v>939</v>
      </c>
      <c r="C878" s="15">
        <v>1</v>
      </c>
      <c r="D878" s="16">
        <v>464.93</v>
      </c>
      <c r="E878" s="17">
        <f t="shared" si="39"/>
        <v>464.93</v>
      </c>
      <c r="F878" s="18">
        <f t="shared" si="40"/>
        <v>9</v>
      </c>
      <c r="G878" s="18" t="str">
        <f t="shared" si="41"/>
        <v>Sem premiação</v>
      </c>
    </row>
    <row r="879" spans="2:7" ht="20.100000000000001" customHeight="1" x14ac:dyDescent="0.25">
      <c r="B879" s="14" t="s">
        <v>940</v>
      </c>
      <c r="C879" s="15">
        <v>1</v>
      </c>
      <c r="D879" s="16">
        <v>558.01</v>
      </c>
      <c r="E879" s="17">
        <f t="shared" si="39"/>
        <v>558.01</v>
      </c>
      <c r="F879" s="18">
        <f t="shared" si="40"/>
        <v>10</v>
      </c>
      <c r="G879" s="18" t="str">
        <f t="shared" si="41"/>
        <v>Sem premiação</v>
      </c>
    </row>
    <row r="880" spans="2:7" ht="20.100000000000001" customHeight="1" x14ac:dyDescent="0.25">
      <c r="B880" s="14" t="s">
        <v>941</v>
      </c>
      <c r="C880" s="15">
        <v>1</v>
      </c>
      <c r="D880" s="16">
        <v>59.31</v>
      </c>
      <c r="E880" s="17">
        <f t="shared" si="39"/>
        <v>59.31</v>
      </c>
      <c r="F880" s="18">
        <f t="shared" si="40"/>
        <v>1</v>
      </c>
      <c r="G880" s="18" t="str">
        <f t="shared" si="41"/>
        <v>Sem premiação</v>
      </c>
    </row>
    <row r="881" spans="2:7" ht="20.100000000000001" customHeight="1" x14ac:dyDescent="0.25">
      <c r="B881" s="14" t="s">
        <v>942</v>
      </c>
      <c r="C881" s="15">
        <v>1</v>
      </c>
      <c r="D881" s="16">
        <v>59.31</v>
      </c>
      <c r="E881" s="17">
        <f t="shared" si="39"/>
        <v>59.31</v>
      </c>
      <c r="F881" s="18">
        <f t="shared" si="40"/>
        <v>1</v>
      </c>
      <c r="G881" s="18" t="str">
        <f t="shared" si="41"/>
        <v>Sem premiação</v>
      </c>
    </row>
    <row r="882" spans="2:7" ht="20.100000000000001" customHeight="1" x14ac:dyDescent="0.25">
      <c r="B882" s="14" t="s">
        <v>943</v>
      </c>
      <c r="C882" s="15">
        <v>1</v>
      </c>
      <c r="D882" s="16">
        <v>87.21</v>
      </c>
      <c r="E882" s="17">
        <f t="shared" si="39"/>
        <v>87.21</v>
      </c>
      <c r="F882" s="18">
        <f t="shared" si="40"/>
        <v>1</v>
      </c>
      <c r="G882" s="18" t="str">
        <f t="shared" si="41"/>
        <v>Sem premiação</v>
      </c>
    </row>
    <row r="883" spans="2:7" ht="20.100000000000001" customHeight="1" x14ac:dyDescent="0.25">
      <c r="B883" s="14" t="s">
        <v>944</v>
      </c>
      <c r="C883" s="15">
        <v>1</v>
      </c>
      <c r="D883" s="16">
        <v>114.21</v>
      </c>
      <c r="E883" s="17">
        <f t="shared" si="39"/>
        <v>114.21</v>
      </c>
      <c r="F883" s="18">
        <f t="shared" si="40"/>
        <v>2</v>
      </c>
      <c r="G883" s="18" t="str">
        <f t="shared" si="41"/>
        <v>Sem premiação</v>
      </c>
    </row>
    <row r="884" spans="2:7" ht="20.100000000000001" customHeight="1" x14ac:dyDescent="0.25">
      <c r="B884" s="14" t="s">
        <v>945</v>
      </c>
      <c r="C884" s="15">
        <v>1</v>
      </c>
      <c r="D884" s="16">
        <v>85</v>
      </c>
      <c r="E884" s="17">
        <f t="shared" si="39"/>
        <v>85</v>
      </c>
      <c r="F884" s="18">
        <f t="shared" si="40"/>
        <v>1</v>
      </c>
      <c r="G884" s="18" t="str">
        <f t="shared" si="41"/>
        <v>Sem premiação</v>
      </c>
    </row>
    <row r="885" spans="2:7" ht="20.100000000000001" customHeight="1" x14ac:dyDescent="0.25">
      <c r="B885" s="14" t="s">
        <v>946</v>
      </c>
      <c r="C885" s="15">
        <v>1</v>
      </c>
      <c r="D885" s="16">
        <v>773.41</v>
      </c>
      <c r="E885" s="17">
        <f t="shared" si="39"/>
        <v>773.41</v>
      </c>
      <c r="F885" s="18">
        <f t="shared" si="40"/>
        <v>10</v>
      </c>
      <c r="G885" s="18" t="str">
        <f t="shared" si="41"/>
        <v>Sem premiação</v>
      </c>
    </row>
    <row r="886" spans="2:7" ht="20.100000000000001" customHeight="1" x14ac:dyDescent="0.25">
      <c r="B886" s="14" t="s">
        <v>947</v>
      </c>
      <c r="C886" s="15">
        <v>1</v>
      </c>
      <c r="D886" s="16">
        <v>136.76</v>
      </c>
      <c r="E886" s="17">
        <f t="shared" si="39"/>
        <v>136.76</v>
      </c>
      <c r="F886" s="18">
        <f t="shared" si="40"/>
        <v>2</v>
      </c>
      <c r="G886" s="18" t="str">
        <f t="shared" si="41"/>
        <v>Sem premiação</v>
      </c>
    </row>
    <row r="887" spans="2:7" ht="20.100000000000001" customHeight="1" x14ac:dyDescent="0.25">
      <c r="B887" s="14" t="s">
        <v>948</v>
      </c>
      <c r="C887" s="15">
        <v>1</v>
      </c>
      <c r="D887" s="16">
        <v>171.62</v>
      </c>
      <c r="E887" s="17">
        <f t="shared" si="39"/>
        <v>171.62</v>
      </c>
      <c r="F887" s="18">
        <f t="shared" si="40"/>
        <v>3</v>
      </c>
      <c r="G887" s="18" t="str">
        <f t="shared" si="41"/>
        <v>Sem premiação</v>
      </c>
    </row>
    <row r="888" spans="2:7" ht="20.100000000000001" customHeight="1" x14ac:dyDescent="0.25">
      <c r="B888" s="14" t="s">
        <v>949</v>
      </c>
      <c r="C888" s="15">
        <v>1</v>
      </c>
      <c r="D888" s="16">
        <v>160.9</v>
      </c>
      <c r="E888" s="17">
        <f t="shared" si="39"/>
        <v>160.9</v>
      </c>
      <c r="F888" s="18">
        <f t="shared" si="40"/>
        <v>3</v>
      </c>
      <c r="G888" s="18" t="str">
        <f t="shared" si="41"/>
        <v>Sem premiação</v>
      </c>
    </row>
    <row r="889" spans="2:7" ht="20.100000000000001" customHeight="1" x14ac:dyDescent="0.25">
      <c r="B889" s="14" t="s">
        <v>950</v>
      </c>
      <c r="C889" s="15">
        <v>1</v>
      </c>
      <c r="D889" s="16">
        <v>94.41</v>
      </c>
      <c r="E889" s="17">
        <f t="shared" si="39"/>
        <v>94.41</v>
      </c>
      <c r="F889" s="18">
        <f t="shared" si="40"/>
        <v>1</v>
      </c>
      <c r="G889" s="18" t="str">
        <f t="shared" si="41"/>
        <v>Sem premiação</v>
      </c>
    </row>
    <row r="890" spans="2:7" ht="20.100000000000001" customHeight="1" x14ac:dyDescent="0.25">
      <c r="B890" s="14" t="s">
        <v>951</v>
      </c>
      <c r="C890" s="15">
        <v>1</v>
      </c>
      <c r="D890" s="16">
        <v>155.33000000000001</v>
      </c>
      <c r="E890" s="17">
        <f t="shared" si="39"/>
        <v>155.33000000000001</v>
      </c>
      <c r="F890" s="18">
        <f t="shared" si="40"/>
        <v>3</v>
      </c>
      <c r="G890" s="18" t="str">
        <f t="shared" si="41"/>
        <v>Sem premiação</v>
      </c>
    </row>
    <row r="891" spans="2:7" ht="20.100000000000001" customHeight="1" x14ac:dyDescent="0.25">
      <c r="B891" s="14" t="s">
        <v>952</v>
      </c>
      <c r="C891" s="15">
        <v>1</v>
      </c>
      <c r="D891" s="16">
        <v>121.52</v>
      </c>
      <c r="E891" s="17">
        <f t="shared" si="39"/>
        <v>121.52</v>
      </c>
      <c r="F891" s="18">
        <f t="shared" si="40"/>
        <v>2</v>
      </c>
      <c r="G891" s="18" t="str">
        <f t="shared" si="41"/>
        <v>Sem premiação</v>
      </c>
    </row>
    <row r="892" spans="2:7" ht="20.100000000000001" customHeight="1" x14ac:dyDescent="0.25">
      <c r="B892" s="14" t="s">
        <v>953</v>
      </c>
      <c r="C892" s="15">
        <v>1</v>
      </c>
      <c r="D892" s="16">
        <v>202.41</v>
      </c>
      <c r="E892" s="17">
        <f t="shared" si="39"/>
        <v>202.41</v>
      </c>
      <c r="F892" s="18">
        <f t="shared" si="40"/>
        <v>4</v>
      </c>
      <c r="G892" s="18" t="str">
        <f t="shared" si="41"/>
        <v>Sem premiação</v>
      </c>
    </row>
    <row r="893" spans="2:7" ht="20.100000000000001" customHeight="1" x14ac:dyDescent="0.25">
      <c r="B893" s="14" t="s">
        <v>954</v>
      </c>
      <c r="C893" s="15">
        <v>1</v>
      </c>
      <c r="D893" s="16">
        <v>165.66</v>
      </c>
      <c r="E893" s="17">
        <f t="shared" si="39"/>
        <v>165.66</v>
      </c>
      <c r="F893" s="18">
        <f t="shared" si="40"/>
        <v>3</v>
      </c>
      <c r="G893" s="18" t="str">
        <f t="shared" si="41"/>
        <v>Sem premiação</v>
      </c>
    </row>
    <row r="894" spans="2:7" ht="20.100000000000001" customHeight="1" x14ac:dyDescent="0.25">
      <c r="B894" s="14" t="s">
        <v>955</v>
      </c>
      <c r="C894" s="15">
        <v>1</v>
      </c>
      <c r="D894" s="16">
        <v>300</v>
      </c>
      <c r="E894" s="17">
        <f t="shared" si="39"/>
        <v>300</v>
      </c>
      <c r="F894" s="18">
        <f t="shared" si="40"/>
        <v>6</v>
      </c>
      <c r="G894" s="18" t="str">
        <f t="shared" si="41"/>
        <v>Sem premiação</v>
      </c>
    </row>
    <row r="895" spans="2:7" ht="20.100000000000001" customHeight="1" x14ac:dyDescent="0.25">
      <c r="B895" s="14" t="s">
        <v>956</v>
      </c>
      <c r="C895" s="15">
        <v>1</v>
      </c>
      <c r="D895" s="16">
        <v>151.9</v>
      </c>
      <c r="E895" s="17">
        <f t="shared" si="39"/>
        <v>151.9</v>
      </c>
      <c r="F895" s="18">
        <f t="shared" si="40"/>
        <v>3</v>
      </c>
      <c r="G895" s="18" t="str">
        <f t="shared" si="41"/>
        <v>Sem premiação</v>
      </c>
    </row>
    <row r="896" spans="2:7" ht="20.100000000000001" customHeight="1" x14ac:dyDescent="0.25">
      <c r="B896" s="14" t="s">
        <v>957</v>
      </c>
      <c r="C896" s="15">
        <v>1</v>
      </c>
      <c r="D896" s="16">
        <v>91.71</v>
      </c>
      <c r="E896" s="17">
        <f t="shared" si="39"/>
        <v>91.71</v>
      </c>
      <c r="F896" s="18">
        <f t="shared" si="40"/>
        <v>1</v>
      </c>
      <c r="G896" s="18" t="str">
        <f t="shared" si="41"/>
        <v>Sem premiação</v>
      </c>
    </row>
    <row r="897" spans="2:7" ht="20.100000000000001" customHeight="1" x14ac:dyDescent="0.25">
      <c r="B897" s="14" t="s">
        <v>958</v>
      </c>
      <c r="C897" s="15">
        <v>1</v>
      </c>
      <c r="D897" s="16">
        <v>284.67</v>
      </c>
      <c r="E897" s="17">
        <f t="shared" si="39"/>
        <v>284.67</v>
      </c>
      <c r="F897" s="18">
        <f t="shared" si="40"/>
        <v>5</v>
      </c>
      <c r="G897" s="18" t="str">
        <f t="shared" si="41"/>
        <v>Sem premiação</v>
      </c>
    </row>
    <row r="898" spans="2:7" ht="20.100000000000001" customHeight="1" x14ac:dyDescent="0.25">
      <c r="B898" s="14" t="s">
        <v>959</v>
      </c>
      <c r="C898" s="15">
        <v>1</v>
      </c>
      <c r="D898" s="16">
        <v>51.21</v>
      </c>
      <c r="E898" s="17">
        <f t="shared" si="39"/>
        <v>51.21</v>
      </c>
      <c r="F898" s="18">
        <f t="shared" si="40"/>
        <v>1</v>
      </c>
      <c r="G898" s="18" t="str">
        <f t="shared" si="41"/>
        <v>Sem premiação</v>
      </c>
    </row>
    <row r="899" spans="2:7" ht="20.100000000000001" customHeight="1" x14ac:dyDescent="0.25">
      <c r="B899" s="14" t="s">
        <v>960</v>
      </c>
      <c r="C899" s="15">
        <v>1</v>
      </c>
      <c r="D899" s="16">
        <v>164.56</v>
      </c>
      <c r="E899" s="17">
        <f t="shared" si="39"/>
        <v>164.56</v>
      </c>
      <c r="F899" s="18">
        <f t="shared" si="40"/>
        <v>3</v>
      </c>
      <c r="G899" s="18" t="str">
        <f t="shared" si="41"/>
        <v>Sem premiação</v>
      </c>
    </row>
    <row r="900" spans="2:7" ht="20.100000000000001" customHeight="1" x14ac:dyDescent="0.25">
      <c r="B900" s="14" t="s">
        <v>961</v>
      </c>
      <c r="C900" s="15">
        <v>1</v>
      </c>
      <c r="D900" s="16">
        <v>71.010000000000005</v>
      </c>
      <c r="E900" s="17">
        <f t="shared" ref="E900:E953" si="42">D900/C900</f>
        <v>71.010000000000005</v>
      </c>
      <c r="F900" s="18">
        <f t="shared" ref="F900:F953" si="43">IFERROR(C900*_xlfn.XLOOKUP(E900,$J$4:$J$13,$K$4:$K$13,0,-1),0)</f>
        <v>1</v>
      </c>
      <c r="G900" s="18" t="str">
        <f t="shared" ref="G900:G953" si="44">IFERROR(VLOOKUP(F900,$J$16:$K$19,2,TRUE),"SEM PREMIAÇÃO")</f>
        <v>Sem premiação</v>
      </c>
    </row>
    <row r="901" spans="2:7" ht="20.100000000000001" customHeight="1" x14ac:dyDescent="0.25">
      <c r="B901" s="14" t="s">
        <v>962</v>
      </c>
      <c r="C901" s="15">
        <v>1</v>
      </c>
      <c r="D901" s="16">
        <v>70.75</v>
      </c>
      <c r="E901" s="17">
        <f t="shared" si="42"/>
        <v>70.75</v>
      </c>
      <c r="F901" s="18">
        <f t="shared" si="43"/>
        <v>1</v>
      </c>
      <c r="G901" s="18" t="str">
        <f t="shared" si="44"/>
        <v>Sem premiação</v>
      </c>
    </row>
    <row r="902" spans="2:7" ht="20.100000000000001" customHeight="1" x14ac:dyDescent="0.25">
      <c r="B902" s="14" t="s">
        <v>963</v>
      </c>
      <c r="C902" s="15">
        <v>1</v>
      </c>
      <c r="D902" s="16">
        <v>70.11</v>
      </c>
      <c r="E902" s="17">
        <f t="shared" si="42"/>
        <v>70.11</v>
      </c>
      <c r="F902" s="18">
        <f t="shared" si="43"/>
        <v>1</v>
      </c>
      <c r="G902" s="18" t="str">
        <f t="shared" si="44"/>
        <v>Sem premiação</v>
      </c>
    </row>
    <row r="903" spans="2:7" ht="20.100000000000001" customHeight="1" x14ac:dyDescent="0.25">
      <c r="B903" s="14" t="s">
        <v>964</v>
      </c>
      <c r="C903" s="15">
        <v>1</v>
      </c>
      <c r="D903" s="16">
        <v>169.06</v>
      </c>
      <c r="E903" s="17">
        <f t="shared" si="42"/>
        <v>169.06</v>
      </c>
      <c r="F903" s="18">
        <f t="shared" si="43"/>
        <v>3</v>
      </c>
      <c r="G903" s="18" t="str">
        <f t="shared" si="44"/>
        <v>Sem premiação</v>
      </c>
    </row>
    <row r="904" spans="2:7" ht="20.100000000000001" customHeight="1" x14ac:dyDescent="0.25">
      <c r="B904" s="14" t="s">
        <v>965</v>
      </c>
      <c r="C904" s="15">
        <v>1</v>
      </c>
      <c r="D904" s="16">
        <v>205.62</v>
      </c>
      <c r="E904" s="17">
        <f t="shared" si="42"/>
        <v>205.62</v>
      </c>
      <c r="F904" s="18">
        <f t="shared" si="43"/>
        <v>4</v>
      </c>
      <c r="G904" s="18" t="str">
        <f t="shared" si="44"/>
        <v>Sem premiação</v>
      </c>
    </row>
    <row r="905" spans="2:7" ht="20.100000000000001" customHeight="1" x14ac:dyDescent="0.25">
      <c r="B905" s="14" t="s">
        <v>966</v>
      </c>
      <c r="C905" s="15">
        <v>1</v>
      </c>
      <c r="D905" s="16">
        <v>87.21</v>
      </c>
      <c r="E905" s="17">
        <f t="shared" si="42"/>
        <v>87.21</v>
      </c>
      <c r="F905" s="18">
        <f t="shared" si="43"/>
        <v>1</v>
      </c>
      <c r="G905" s="18" t="str">
        <f t="shared" si="44"/>
        <v>Sem premiação</v>
      </c>
    </row>
    <row r="906" spans="2:7" ht="20.100000000000001" customHeight="1" x14ac:dyDescent="0.25">
      <c r="B906" s="14" t="s">
        <v>967</v>
      </c>
      <c r="C906" s="15">
        <v>1</v>
      </c>
      <c r="D906" s="16">
        <v>91.9</v>
      </c>
      <c r="E906" s="17">
        <f t="shared" si="42"/>
        <v>91.9</v>
      </c>
      <c r="F906" s="18">
        <f t="shared" si="43"/>
        <v>1</v>
      </c>
      <c r="G906" s="18" t="str">
        <f t="shared" si="44"/>
        <v>Sem premiação</v>
      </c>
    </row>
    <row r="907" spans="2:7" ht="20.100000000000001" customHeight="1" x14ac:dyDescent="0.25">
      <c r="B907" s="14" t="s">
        <v>968</v>
      </c>
      <c r="C907" s="15">
        <v>1</v>
      </c>
      <c r="D907" s="16">
        <v>53</v>
      </c>
      <c r="E907" s="17">
        <f t="shared" si="42"/>
        <v>53</v>
      </c>
      <c r="F907" s="18">
        <f t="shared" si="43"/>
        <v>1</v>
      </c>
      <c r="G907" s="18" t="str">
        <f t="shared" si="44"/>
        <v>Sem premiação</v>
      </c>
    </row>
    <row r="908" spans="2:7" ht="20.100000000000001" customHeight="1" x14ac:dyDescent="0.25">
      <c r="B908" s="14" t="s">
        <v>969</v>
      </c>
      <c r="C908" s="15">
        <v>1</v>
      </c>
      <c r="D908" s="16">
        <v>250.66</v>
      </c>
      <c r="E908" s="17">
        <f t="shared" si="42"/>
        <v>250.66</v>
      </c>
      <c r="F908" s="18">
        <f t="shared" si="43"/>
        <v>5</v>
      </c>
      <c r="G908" s="18" t="str">
        <f t="shared" si="44"/>
        <v>Sem premiação</v>
      </c>
    </row>
    <row r="909" spans="2:7" ht="20.100000000000001" customHeight="1" x14ac:dyDescent="0.25">
      <c r="B909" s="14" t="s">
        <v>970</v>
      </c>
      <c r="C909" s="15">
        <v>1</v>
      </c>
      <c r="D909" s="16">
        <v>59.31</v>
      </c>
      <c r="E909" s="17">
        <f t="shared" si="42"/>
        <v>59.31</v>
      </c>
      <c r="F909" s="18">
        <f t="shared" si="43"/>
        <v>1</v>
      </c>
      <c r="G909" s="18" t="str">
        <f t="shared" si="44"/>
        <v>Sem premiação</v>
      </c>
    </row>
    <row r="910" spans="2:7" ht="20.100000000000001" customHeight="1" x14ac:dyDescent="0.25">
      <c r="B910" s="14" t="s">
        <v>971</v>
      </c>
      <c r="C910" s="15">
        <v>1</v>
      </c>
      <c r="D910" s="16">
        <v>59.31</v>
      </c>
      <c r="E910" s="17">
        <f t="shared" si="42"/>
        <v>59.31</v>
      </c>
      <c r="F910" s="18">
        <f t="shared" si="43"/>
        <v>1</v>
      </c>
      <c r="G910" s="18" t="str">
        <f t="shared" si="44"/>
        <v>Sem premiação</v>
      </c>
    </row>
    <row r="911" spans="2:7" ht="20.100000000000001" customHeight="1" x14ac:dyDescent="0.25">
      <c r="B911" s="14" t="s">
        <v>972</v>
      </c>
      <c r="C911" s="15">
        <v>1</v>
      </c>
      <c r="D911" s="16">
        <v>460.62</v>
      </c>
      <c r="E911" s="17">
        <f t="shared" si="42"/>
        <v>460.62</v>
      </c>
      <c r="F911" s="18">
        <f t="shared" si="43"/>
        <v>9</v>
      </c>
      <c r="G911" s="18" t="str">
        <f t="shared" si="44"/>
        <v>Sem premiação</v>
      </c>
    </row>
    <row r="912" spans="2:7" ht="20.100000000000001" customHeight="1" x14ac:dyDescent="0.25">
      <c r="B912" s="14" t="s">
        <v>973</v>
      </c>
      <c r="C912" s="15">
        <v>1</v>
      </c>
      <c r="D912" s="16">
        <v>120</v>
      </c>
      <c r="E912" s="17">
        <f t="shared" si="42"/>
        <v>120</v>
      </c>
      <c r="F912" s="18">
        <f t="shared" si="43"/>
        <v>2</v>
      </c>
      <c r="G912" s="18" t="str">
        <f t="shared" si="44"/>
        <v>Sem premiação</v>
      </c>
    </row>
    <row r="913" spans="2:7" ht="20.100000000000001" customHeight="1" x14ac:dyDescent="0.25">
      <c r="B913" s="14" t="s">
        <v>974</v>
      </c>
      <c r="C913" s="15">
        <v>1</v>
      </c>
      <c r="D913" s="16">
        <v>127.8</v>
      </c>
      <c r="E913" s="17">
        <f t="shared" si="42"/>
        <v>127.8</v>
      </c>
      <c r="F913" s="18">
        <f t="shared" si="43"/>
        <v>2</v>
      </c>
      <c r="G913" s="18" t="str">
        <f t="shared" si="44"/>
        <v>Sem premiação</v>
      </c>
    </row>
    <row r="914" spans="2:7" ht="20.100000000000001" customHeight="1" x14ac:dyDescent="0.25">
      <c r="B914" s="14" t="s">
        <v>975</v>
      </c>
      <c r="C914" s="15">
        <v>1</v>
      </c>
      <c r="D914" s="16">
        <v>100.71</v>
      </c>
      <c r="E914" s="17">
        <f t="shared" si="42"/>
        <v>100.71</v>
      </c>
      <c r="F914" s="18">
        <f t="shared" si="43"/>
        <v>2</v>
      </c>
      <c r="G914" s="18" t="str">
        <f t="shared" si="44"/>
        <v>Sem premiação</v>
      </c>
    </row>
    <row r="915" spans="2:7" ht="20.100000000000001" customHeight="1" x14ac:dyDescent="0.25">
      <c r="B915" s="14" t="s">
        <v>976</v>
      </c>
      <c r="C915" s="15">
        <v>1</v>
      </c>
      <c r="D915" s="16">
        <v>83.22</v>
      </c>
      <c r="E915" s="17">
        <f t="shared" si="42"/>
        <v>83.22</v>
      </c>
      <c r="F915" s="18">
        <f t="shared" si="43"/>
        <v>1</v>
      </c>
      <c r="G915" s="18" t="str">
        <f t="shared" si="44"/>
        <v>Sem premiação</v>
      </c>
    </row>
    <row r="916" spans="2:7" ht="20.100000000000001" customHeight="1" x14ac:dyDescent="0.25">
      <c r="B916" s="14" t="s">
        <v>977</v>
      </c>
      <c r="C916" s="15">
        <v>1</v>
      </c>
      <c r="D916" s="16">
        <v>157.16</v>
      </c>
      <c r="E916" s="17">
        <f t="shared" si="42"/>
        <v>157.16</v>
      </c>
      <c r="F916" s="18">
        <f t="shared" si="43"/>
        <v>3</v>
      </c>
      <c r="G916" s="18" t="str">
        <f t="shared" si="44"/>
        <v>Sem premiação</v>
      </c>
    </row>
    <row r="917" spans="2:7" ht="20.100000000000001" customHeight="1" x14ac:dyDescent="0.25">
      <c r="B917" s="14" t="s">
        <v>978</v>
      </c>
      <c r="C917" s="15">
        <v>1</v>
      </c>
      <c r="D917" s="16">
        <v>217.71</v>
      </c>
      <c r="E917" s="17">
        <f t="shared" si="42"/>
        <v>217.71</v>
      </c>
      <c r="F917" s="18">
        <f t="shared" si="43"/>
        <v>4</v>
      </c>
      <c r="G917" s="18" t="str">
        <f t="shared" si="44"/>
        <v>Sem premiação</v>
      </c>
    </row>
    <row r="918" spans="2:7" ht="20.100000000000001" customHeight="1" x14ac:dyDescent="0.25">
      <c r="B918" s="14" t="s">
        <v>979</v>
      </c>
      <c r="C918" s="15">
        <v>1</v>
      </c>
      <c r="D918" s="16">
        <v>241.9</v>
      </c>
      <c r="E918" s="17">
        <f t="shared" si="42"/>
        <v>241.9</v>
      </c>
      <c r="F918" s="18">
        <f t="shared" si="43"/>
        <v>4</v>
      </c>
      <c r="G918" s="18" t="str">
        <f t="shared" si="44"/>
        <v>Sem premiação</v>
      </c>
    </row>
    <row r="919" spans="2:7" ht="20.100000000000001" customHeight="1" x14ac:dyDescent="0.25">
      <c r="B919" s="14" t="s">
        <v>980</v>
      </c>
      <c r="C919" s="15">
        <v>1</v>
      </c>
      <c r="D919" s="16">
        <v>157.16</v>
      </c>
      <c r="E919" s="17">
        <f t="shared" si="42"/>
        <v>157.16</v>
      </c>
      <c r="F919" s="18">
        <f t="shared" si="43"/>
        <v>3</v>
      </c>
      <c r="G919" s="18" t="str">
        <f t="shared" si="44"/>
        <v>Sem premiação</v>
      </c>
    </row>
    <row r="920" spans="2:7" ht="20.100000000000001" customHeight="1" x14ac:dyDescent="0.25">
      <c r="B920" s="14" t="s">
        <v>981</v>
      </c>
      <c r="C920" s="15">
        <v>1</v>
      </c>
      <c r="D920" s="16">
        <v>72.81</v>
      </c>
      <c r="E920" s="17">
        <f t="shared" si="42"/>
        <v>72.81</v>
      </c>
      <c r="F920" s="18">
        <f t="shared" si="43"/>
        <v>1</v>
      </c>
      <c r="G920" s="18" t="str">
        <f t="shared" si="44"/>
        <v>Sem premiação</v>
      </c>
    </row>
    <row r="921" spans="2:7" ht="20.100000000000001" customHeight="1" x14ac:dyDescent="0.25">
      <c r="B921" s="14" t="s">
        <v>982</v>
      </c>
      <c r="C921" s="15">
        <v>1</v>
      </c>
      <c r="D921" s="16">
        <v>337.37</v>
      </c>
      <c r="E921" s="17">
        <f t="shared" si="42"/>
        <v>337.37</v>
      </c>
      <c r="F921" s="18">
        <f t="shared" si="43"/>
        <v>6</v>
      </c>
      <c r="G921" s="18" t="str">
        <f t="shared" si="44"/>
        <v>Sem premiação</v>
      </c>
    </row>
    <row r="922" spans="2:7" ht="20.100000000000001" customHeight="1" x14ac:dyDescent="0.25">
      <c r="B922" s="14" t="s">
        <v>983</v>
      </c>
      <c r="C922" s="15">
        <v>1</v>
      </c>
      <c r="D922" s="16">
        <v>178.41</v>
      </c>
      <c r="E922" s="17">
        <f t="shared" si="42"/>
        <v>178.41</v>
      </c>
      <c r="F922" s="18">
        <f t="shared" si="43"/>
        <v>3</v>
      </c>
      <c r="G922" s="18" t="str">
        <f t="shared" si="44"/>
        <v>Sem premiação</v>
      </c>
    </row>
    <row r="923" spans="2:7" ht="20.100000000000001" customHeight="1" x14ac:dyDescent="0.25">
      <c r="B923" s="14" t="s">
        <v>984</v>
      </c>
      <c r="C923" s="15">
        <v>1</v>
      </c>
      <c r="D923" s="16">
        <v>72.81</v>
      </c>
      <c r="E923" s="17">
        <f t="shared" si="42"/>
        <v>72.81</v>
      </c>
      <c r="F923" s="18">
        <f t="shared" si="43"/>
        <v>1</v>
      </c>
      <c r="G923" s="18" t="str">
        <f t="shared" si="44"/>
        <v>Sem premiação</v>
      </c>
    </row>
    <row r="924" spans="2:7" ht="20.100000000000001" customHeight="1" x14ac:dyDescent="0.25">
      <c r="B924" s="14" t="s">
        <v>985</v>
      </c>
      <c r="C924" s="15">
        <v>1</v>
      </c>
      <c r="D924" s="16">
        <v>203.51</v>
      </c>
      <c r="E924" s="17">
        <f t="shared" si="42"/>
        <v>203.51</v>
      </c>
      <c r="F924" s="18">
        <f t="shared" si="43"/>
        <v>4</v>
      </c>
      <c r="G924" s="18" t="str">
        <f t="shared" si="44"/>
        <v>Sem premiação</v>
      </c>
    </row>
    <row r="925" spans="2:7" ht="20.100000000000001" customHeight="1" x14ac:dyDescent="0.25">
      <c r="B925" s="14" t="s">
        <v>986</v>
      </c>
      <c r="C925" s="15">
        <v>1</v>
      </c>
      <c r="D925" s="16">
        <v>349.26</v>
      </c>
      <c r="E925" s="17">
        <f t="shared" si="42"/>
        <v>349.26</v>
      </c>
      <c r="F925" s="18">
        <f t="shared" si="43"/>
        <v>6</v>
      </c>
      <c r="G925" s="18" t="str">
        <f t="shared" si="44"/>
        <v>Sem premiação</v>
      </c>
    </row>
    <row r="926" spans="2:7" ht="20.100000000000001" customHeight="1" x14ac:dyDescent="0.25">
      <c r="B926" s="14" t="s">
        <v>987</v>
      </c>
      <c r="C926" s="15">
        <v>1</v>
      </c>
      <c r="D926" s="16">
        <v>314.42</v>
      </c>
      <c r="E926" s="17">
        <f t="shared" si="42"/>
        <v>314.42</v>
      </c>
      <c r="F926" s="18">
        <f t="shared" si="43"/>
        <v>6</v>
      </c>
      <c r="G926" s="18" t="str">
        <f t="shared" si="44"/>
        <v>Sem premiação</v>
      </c>
    </row>
    <row r="927" spans="2:7" ht="20.100000000000001" customHeight="1" x14ac:dyDescent="0.25">
      <c r="B927" s="14" t="s">
        <v>988</v>
      </c>
      <c r="C927" s="15">
        <v>1</v>
      </c>
      <c r="D927" s="16">
        <v>203.51</v>
      </c>
      <c r="E927" s="17">
        <f t="shared" si="42"/>
        <v>203.51</v>
      </c>
      <c r="F927" s="18">
        <f t="shared" si="43"/>
        <v>4</v>
      </c>
      <c r="G927" s="18" t="str">
        <f t="shared" si="44"/>
        <v>Sem premiação</v>
      </c>
    </row>
    <row r="928" spans="2:7" ht="20.100000000000001" customHeight="1" x14ac:dyDescent="0.25">
      <c r="B928" s="14" t="s">
        <v>989</v>
      </c>
      <c r="C928" s="15">
        <v>1</v>
      </c>
      <c r="D928" s="16">
        <v>729.91</v>
      </c>
      <c r="E928" s="17">
        <f t="shared" si="42"/>
        <v>729.91</v>
      </c>
      <c r="F928" s="18">
        <f t="shared" si="43"/>
        <v>10</v>
      </c>
      <c r="G928" s="18" t="str">
        <f t="shared" si="44"/>
        <v>Sem premiação</v>
      </c>
    </row>
    <row r="929" spans="2:7" ht="20.100000000000001" customHeight="1" x14ac:dyDescent="0.25">
      <c r="B929" s="14" t="s">
        <v>990</v>
      </c>
      <c r="C929" s="15">
        <v>1</v>
      </c>
      <c r="D929" s="16">
        <v>112.63</v>
      </c>
      <c r="E929" s="17">
        <f t="shared" si="42"/>
        <v>112.63</v>
      </c>
      <c r="F929" s="18">
        <f t="shared" si="43"/>
        <v>2</v>
      </c>
      <c r="G929" s="18" t="str">
        <f t="shared" si="44"/>
        <v>Sem premiação</v>
      </c>
    </row>
    <row r="930" spans="2:7" ht="20.100000000000001" customHeight="1" x14ac:dyDescent="0.25">
      <c r="B930" s="14" t="s">
        <v>991</v>
      </c>
      <c r="C930" s="15">
        <v>1</v>
      </c>
      <c r="D930" s="16">
        <v>65.900000000000006</v>
      </c>
      <c r="E930" s="17">
        <f t="shared" si="42"/>
        <v>65.900000000000006</v>
      </c>
      <c r="F930" s="18">
        <f t="shared" si="43"/>
        <v>1</v>
      </c>
      <c r="G930" s="18" t="str">
        <f t="shared" si="44"/>
        <v>Sem premiação</v>
      </c>
    </row>
    <row r="931" spans="2:7" ht="20.100000000000001" customHeight="1" x14ac:dyDescent="0.25">
      <c r="B931" s="14" t="s">
        <v>992</v>
      </c>
      <c r="C931" s="15">
        <v>1</v>
      </c>
      <c r="D931" s="16">
        <v>59.76</v>
      </c>
      <c r="E931" s="17">
        <f t="shared" si="42"/>
        <v>59.76</v>
      </c>
      <c r="F931" s="18">
        <f t="shared" si="43"/>
        <v>1</v>
      </c>
      <c r="G931" s="18" t="str">
        <f t="shared" si="44"/>
        <v>Sem premiação</v>
      </c>
    </row>
    <row r="932" spans="2:7" ht="20.100000000000001" customHeight="1" x14ac:dyDescent="0.25">
      <c r="B932" s="14" t="s">
        <v>993</v>
      </c>
      <c r="C932" s="15">
        <v>1</v>
      </c>
      <c r="D932" s="16">
        <v>81.81</v>
      </c>
      <c r="E932" s="17">
        <f t="shared" si="42"/>
        <v>81.81</v>
      </c>
      <c r="F932" s="18">
        <f t="shared" si="43"/>
        <v>1</v>
      </c>
      <c r="G932" s="18" t="str">
        <f t="shared" si="44"/>
        <v>Sem premiação</v>
      </c>
    </row>
    <row r="933" spans="2:7" ht="20.100000000000001" customHeight="1" x14ac:dyDescent="0.25">
      <c r="B933" s="14" t="s">
        <v>994</v>
      </c>
      <c r="C933" s="15">
        <v>1</v>
      </c>
      <c r="D933" s="16">
        <v>89.11</v>
      </c>
      <c r="E933" s="17">
        <f t="shared" si="42"/>
        <v>89.11</v>
      </c>
      <c r="F933" s="18">
        <f t="shared" si="43"/>
        <v>1</v>
      </c>
      <c r="G933" s="18" t="str">
        <f t="shared" si="44"/>
        <v>Sem premiação</v>
      </c>
    </row>
    <row r="934" spans="2:7" ht="20.100000000000001" customHeight="1" x14ac:dyDescent="0.25">
      <c r="B934" s="14" t="s">
        <v>995</v>
      </c>
      <c r="C934" s="15">
        <v>1</v>
      </c>
      <c r="D934" s="16">
        <v>156.66</v>
      </c>
      <c r="E934" s="17">
        <f t="shared" si="42"/>
        <v>156.66</v>
      </c>
      <c r="F934" s="18">
        <f t="shared" si="43"/>
        <v>3</v>
      </c>
      <c r="G934" s="18" t="str">
        <f t="shared" si="44"/>
        <v>Sem premiação</v>
      </c>
    </row>
    <row r="935" spans="2:7" ht="20.100000000000001" customHeight="1" x14ac:dyDescent="0.25">
      <c r="B935" s="14" t="s">
        <v>996</v>
      </c>
      <c r="C935" s="15">
        <v>1</v>
      </c>
      <c r="D935" s="16">
        <v>372.17</v>
      </c>
      <c r="E935" s="17">
        <f t="shared" si="42"/>
        <v>372.17</v>
      </c>
      <c r="F935" s="18">
        <f t="shared" si="43"/>
        <v>7</v>
      </c>
      <c r="G935" s="18" t="str">
        <f t="shared" si="44"/>
        <v>Sem premiação</v>
      </c>
    </row>
    <row r="936" spans="2:7" ht="20.100000000000001" customHeight="1" x14ac:dyDescent="0.25">
      <c r="B936" s="14" t="s">
        <v>997</v>
      </c>
      <c r="C936" s="15">
        <v>1</v>
      </c>
      <c r="D936" s="16">
        <v>157.16</v>
      </c>
      <c r="E936" s="17">
        <f t="shared" si="42"/>
        <v>157.16</v>
      </c>
      <c r="F936" s="18">
        <f t="shared" si="43"/>
        <v>3</v>
      </c>
      <c r="G936" s="18" t="str">
        <f t="shared" si="44"/>
        <v>Sem premiação</v>
      </c>
    </row>
    <row r="937" spans="2:7" ht="20.100000000000001" customHeight="1" x14ac:dyDescent="0.25">
      <c r="B937" s="14" t="s">
        <v>998</v>
      </c>
      <c r="C937" s="15">
        <v>1</v>
      </c>
      <c r="D937" s="16">
        <v>69.209999999999994</v>
      </c>
      <c r="E937" s="17">
        <f t="shared" si="42"/>
        <v>69.209999999999994</v>
      </c>
      <c r="F937" s="18">
        <f t="shared" si="43"/>
        <v>1</v>
      </c>
      <c r="G937" s="18" t="str">
        <f t="shared" si="44"/>
        <v>Sem premiação</v>
      </c>
    </row>
    <row r="938" spans="2:7" ht="20.100000000000001" customHeight="1" x14ac:dyDescent="0.25">
      <c r="B938" s="14" t="s">
        <v>999</v>
      </c>
      <c r="C938" s="15">
        <v>1</v>
      </c>
      <c r="D938" s="16">
        <v>160.9</v>
      </c>
      <c r="E938" s="17">
        <f t="shared" si="42"/>
        <v>160.9</v>
      </c>
      <c r="F938" s="18">
        <f t="shared" si="43"/>
        <v>3</v>
      </c>
      <c r="G938" s="18" t="str">
        <f t="shared" si="44"/>
        <v>Sem premiação</v>
      </c>
    </row>
    <row r="939" spans="2:7" ht="20.100000000000001" customHeight="1" x14ac:dyDescent="0.25">
      <c r="B939" s="14" t="s">
        <v>1000</v>
      </c>
      <c r="C939" s="15">
        <v>1</v>
      </c>
      <c r="D939" s="16">
        <v>136.76</v>
      </c>
      <c r="E939" s="17">
        <f t="shared" si="42"/>
        <v>136.76</v>
      </c>
      <c r="F939" s="18">
        <f t="shared" si="43"/>
        <v>2</v>
      </c>
      <c r="G939" s="18" t="str">
        <f t="shared" si="44"/>
        <v>Sem premiação</v>
      </c>
    </row>
    <row r="940" spans="2:7" ht="20.100000000000001" customHeight="1" x14ac:dyDescent="0.25">
      <c r="B940" s="14" t="s">
        <v>1001</v>
      </c>
      <c r="C940" s="15">
        <v>1</v>
      </c>
      <c r="D940" s="16">
        <v>333.96</v>
      </c>
      <c r="E940" s="17">
        <f t="shared" si="42"/>
        <v>333.96</v>
      </c>
      <c r="F940" s="18">
        <f t="shared" si="43"/>
        <v>6</v>
      </c>
      <c r="G940" s="18" t="str">
        <f t="shared" si="44"/>
        <v>Sem premiação</v>
      </c>
    </row>
    <row r="941" spans="2:7" ht="20.100000000000001" customHeight="1" x14ac:dyDescent="0.25">
      <c r="B941" s="14" t="s">
        <v>1002</v>
      </c>
      <c r="C941" s="15">
        <v>1</v>
      </c>
      <c r="D941" s="16">
        <v>184.9</v>
      </c>
      <c r="E941" s="17">
        <f t="shared" si="42"/>
        <v>184.9</v>
      </c>
      <c r="F941" s="18">
        <f t="shared" si="43"/>
        <v>3</v>
      </c>
      <c r="G941" s="18" t="str">
        <f t="shared" si="44"/>
        <v>Sem premiação</v>
      </c>
    </row>
    <row r="942" spans="2:7" ht="20.100000000000001" customHeight="1" x14ac:dyDescent="0.25">
      <c r="B942" s="14" t="s">
        <v>1003</v>
      </c>
      <c r="C942" s="15">
        <v>1</v>
      </c>
      <c r="D942" s="16">
        <v>701.48</v>
      </c>
      <c r="E942" s="17">
        <f t="shared" si="42"/>
        <v>701.48</v>
      </c>
      <c r="F942" s="18">
        <f t="shared" si="43"/>
        <v>10</v>
      </c>
      <c r="G942" s="18" t="str">
        <f t="shared" si="44"/>
        <v>Sem premiação</v>
      </c>
    </row>
    <row r="943" spans="2:7" ht="20.100000000000001" customHeight="1" x14ac:dyDescent="0.25">
      <c r="B943" s="14" t="s">
        <v>1004</v>
      </c>
      <c r="C943" s="15">
        <v>1</v>
      </c>
      <c r="D943" s="16">
        <v>119.77</v>
      </c>
      <c r="E943" s="17">
        <f t="shared" si="42"/>
        <v>119.77</v>
      </c>
      <c r="F943" s="18">
        <f t="shared" si="43"/>
        <v>2</v>
      </c>
      <c r="G943" s="18" t="str">
        <f t="shared" si="44"/>
        <v>Sem premiação</v>
      </c>
    </row>
    <row r="944" spans="2:7" ht="20.100000000000001" customHeight="1" x14ac:dyDescent="0.25">
      <c r="B944" s="14" t="s">
        <v>1005</v>
      </c>
      <c r="C944" s="15">
        <v>1</v>
      </c>
      <c r="D944" s="16">
        <v>65.900000000000006</v>
      </c>
      <c r="E944" s="17">
        <f t="shared" si="42"/>
        <v>65.900000000000006</v>
      </c>
      <c r="F944" s="18">
        <f t="shared" si="43"/>
        <v>1</v>
      </c>
      <c r="G944" s="18" t="str">
        <f t="shared" si="44"/>
        <v>Sem premiação</v>
      </c>
    </row>
    <row r="945" spans="2:7" ht="20.100000000000001" customHeight="1" x14ac:dyDescent="0.25">
      <c r="B945" s="14" t="s">
        <v>1006</v>
      </c>
      <c r="C945" s="15">
        <v>1</v>
      </c>
      <c r="D945" s="16">
        <v>229.41</v>
      </c>
      <c r="E945" s="17">
        <f t="shared" si="42"/>
        <v>229.41</v>
      </c>
      <c r="F945" s="18">
        <f t="shared" si="43"/>
        <v>4</v>
      </c>
      <c r="G945" s="18" t="str">
        <f t="shared" si="44"/>
        <v>Sem premiação</v>
      </c>
    </row>
    <row r="946" spans="2:7" ht="20.100000000000001" customHeight="1" x14ac:dyDescent="0.25">
      <c r="B946" s="14" t="s">
        <v>1007</v>
      </c>
      <c r="C946" s="15">
        <v>1</v>
      </c>
      <c r="D946" s="16">
        <v>140</v>
      </c>
      <c r="E946" s="17">
        <f t="shared" si="42"/>
        <v>140</v>
      </c>
      <c r="F946" s="18">
        <f t="shared" si="43"/>
        <v>2</v>
      </c>
      <c r="G946" s="18" t="str">
        <f t="shared" si="44"/>
        <v>Sem premiação</v>
      </c>
    </row>
    <row r="947" spans="2:7" ht="20.100000000000001" customHeight="1" x14ac:dyDescent="0.25">
      <c r="B947" s="14" t="s">
        <v>1008</v>
      </c>
      <c r="C947" s="15">
        <v>1</v>
      </c>
      <c r="D947" s="16">
        <v>136.76</v>
      </c>
      <c r="E947" s="17">
        <f t="shared" si="42"/>
        <v>136.76</v>
      </c>
      <c r="F947" s="18">
        <f t="shared" si="43"/>
        <v>2</v>
      </c>
      <c r="G947" s="18" t="str">
        <f t="shared" si="44"/>
        <v>Sem premiação</v>
      </c>
    </row>
    <row r="948" spans="2:7" ht="20.100000000000001" customHeight="1" x14ac:dyDescent="0.25">
      <c r="B948" s="14" t="s">
        <v>1009</v>
      </c>
      <c r="C948" s="15">
        <v>1</v>
      </c>
      <c r="D948" s="16">
        <v>203.06</v>
      </c>
      <c r="E948" s="17">
        <f t="shared" si="42"/>
        <v>203.06</v>
      </c>
      <c r="F948" s="18">
        <f t="shared" si="43"/>
        <v>4</v>
      </c>
      <c r="G948" s="18" t="str">
        <f t="shared" si="44"/>
        <v>Sem premiação</v>
      </c>
    </row>
    <row r="949" spans="2:7" ht="20.100000000000001" customHeight="1" x14ac:dyDescent="0.25">
      <c r="B949" s="14" t="s">
        <v>1010</v>
      </c>
      <c r="C949" s="15">
        <v>1</v>
      </c>
      <c r="D949" s="16">
        <v>157.16</v>
      </c>
      <c r="E949" s="17">
        <f t="shared" si="42"/>
        <v>157.16</v>
      </c>
      <c r="F949" s="18">
        <f t="shared" si="43"/>
        <v>3</v>
      </c>
      <c r="G949" s="18" t="str">
        <f t="shared" si="44"/>
        <v>Sem premiação</v>
      </c>
    </row>
    <row r="950" spans="2:7" ht="20.100000000000001" customHeight="1" x14ac:dyDescent="0.25">
      <c r="B950" s="14" t="s">
        <v>1011</v>
      </c>
      <c r="C950" s="15">
        <v>1</v>
      </c>
      <c r="D950" s="16">
        <v>284.67</v>
      </c>
      <c r="E950" s="17">
        <f t="shared" si="42"/>
        <v>284.67</v>
      </c>
      <c r="F950" s="18">
        <f t="shared" si="43"/>
        <v>5</v>
      </c>
      <c r="G950" s="18" t="str">
        <f t="shared" si="44"/>
        <v>Sem premiação</v>
      </c>
    </row>
    <row r="951" spans="2:7" ht="20.100000000000001" customHeight="1" x14ac:dyDescent="0.25">
      <c r="B951" s="14" t="s">
        <v>1012</v>
      </c>
      <c r="C951" s="15">
        <v>1</v>
      </c>
      <c r="D951" s="16">
        <v>147.9</v>
      </c>
      <c r="E951" s="17">
        <f t="shared" si="42"/>
        <v>147.9</v>
      </c>
      <c r="F951" s="18">
        <f t="shared" si="43"/>
        <v>2</v>
      </c>
      <c r="G951" s="18" t="str">
        <f t="shared" si="44"/>
        <v>Sem premiação</v>
      </c>
    </row>
    <row r="952" spans="2:7" ht="20.100000000000001" customHeight="1" x14ac:dyDescent="0.25">
      <c r="B952" s="14" t="s">
        <v>1013</v>
      </c>
      <c r="C952" s="15">
        <v>1</v>
      </c>
      <c r="D952" s="16">
        <v>50</v>
      </c>
      <c r="E952" s="17">
        <f t="shared" si="42"/>
        <v>50</v>
      </c>
      <c r="F952" s="18">
        <f t="shared" si="43"/>
        <v>1</v>
      </c>
      <c r="G952" s="18" t="str">
        <f t="shared" si="44"/>
        <v>Sem premiação</v>
      </c>
    </row>
    <row r="953" spans="2:7" ht="20.100000000000001" customHeight="1" x14ac:dyDescent="0.25">
      <c r="B953" s="14" t="s">
        <v>1014</v>
      </c>
      <c r="C953" s="15">
        <v>1</v>
      </c>
      <c r="D953" s="16">
        <v>114.21</v>
      </c>
      <c r="E953" s="17">
        <f t="shared" si="42"/>
        <v>114.21</v>
      </c>
      <c r="F953" s="18">
        <f t="shared" si="43"/>
        <v>2</v>
      </c>
      <c r="G953" s="18" t="str">
        <f t="shared" si="44"/>
        <v>Sem premiação</v>
      </c>
    </row>
    <row r="954" spans="2:7" ht="20.100000000000001" customHeight="1" x14ac:dyDescent="0.25">
      <c r="B954" s="14" t="s">
        <v>1015</v>
      </c>
      <c r="C954" s="15">
        <v>1</v>
      </c>
      <c r="D954" s="16">
        <v>119.77</v>
      </c>
      <c r="E954" s="17">
        <f t="shared" ref="E954:E985" si="45">D954/C954</f>
        <v>119.77</v>
      </c>
      <c r="F954" s="18">
        <f t="shared" ref="F954:F985" si="46">IFERROR(C954*_xlfn.XLOOKUP(E954,$J$4:$J$13,$K$4:$K$13,0,-1),0)</f>
        <v>2</v>
      </c>
      <c r="G954" s="18" t="str">
        <f t="shared" ref="G954:G985" si="47">IFERROR(VLOOKUP(F954,$J$16:$K$19,2,TRUE),"SEM PREMIAÇÃO")</f>
        <v>Sem premiação</v>
      </c>
    </row>
    <row r="955" spans="2:7" ht="20.100000000000001" customHeight="1" x14ac:dyDescent="0.25">
      <c r="B955" s="14" t="s">
        <v>1016</v>
      </c>
      <c r="C955" s="15">
        <v>1</v>
      </c>
      <c r="D955" s="16">
        <v>102.51</v>
      </c>
      <c r="E955" s="17">
        <f t="shared" si="45"/>
        <v>102.51</v>
      </c>
      <c r="F955" s="18">
        <f t="shared" si="46"/>
        <v>2</v>
      </c>
      <c r="G955" s="18" t="str">
        <f t="shared" si="47"/>
        <v>Sem premiação</v>
      </c>
    </row>
    <row r="956" spans="2:7" ht="20.100000000000001" customHeight="1" x14ac:dyDescent="0.25">
      <c r="B956" s="14" t="s">
        <v>1017</v>
      </c>
      <c r="C956" s="15">
        <v>1</v>
      </c>
      <c r="D956" s="16">
        <v>310.17</v>
      </c>
      <c r="E956" s="17">
        <f t="shared" si="45"/>
        <v>310.17</v>
      </c>
      <c r="F956" s="18">
        <f t="shared" si="46"/>
        <v>6</v>
      </c>
      <c r="G956" s="18" t="str">
        <f t="shared" si="47"/>
        <v>Sem premiação</v>
      </c>
    </row>
    <row r="957" spans="2:7" ht="20.100000000000001" customHeight="1" x14ac:dyDescent="0.25">
      <c r="B957" s="14" t="s">
        <v>1018</v>
      </c>
      <c r="C957" s="15">
        <v>1</v>
      </c>
      <c r="D957" s="16">
        <v>188.62</v>
      </c>
      <c r="E957" s="17">
        <f t="shared" si="45"/>
        <v>188.62</v>
      </c>
      <c r="F957" s="18">
        <f t="shared" si="46"/>
        <v>3</v>
      </c>
      <c r="G957" s="18" t="str">
        <f t="shared" si="47"/>
        <v>Sem premiação</v>
      </c>
    </row>
    <row r="958" spans="2:7" ht="20.100000000000001" customHeight="1" x14ac:dyDescent="0.25">
      <c r="B958" s="14" t="s">
        <v>1019</v>
      </c>
      <c r="C958" s="15">
        <v>1</v>
      </c>
      <c r="D958" s="16">
        <v>97.67</v>
      </c>
      <c r="E958" s="17">
        <f t="shared" si="45"/>
        <v>97.67</v>
      </c>
      <c r="F958" s="18">
        <f t="shared" si="46"/>
        <v>1</v>
      </c>
      <c r="G958" s="18" t="str">
        <f t="shared" si="47"/>
        <v>Sem premiação</v>
      </c>
    </row>
    <row r="959" spans="2:7" ht="20.100000000000001" customHeight="1" x14ac:dyDescent="0.25">
      <c r="B959" s="14" t="s">
        <v>1020</v>
      </c>
      <c r="C959" s="15">
        <v>1</v>
      </c>
      <c r="D959" s="16">
        <v>72.81</v>
      </c>
      <c r="E959" s="17">
        <f t="shared" si="45"/>
        <v>72.81</v>
      </c>
      <c r="F959" s="18">
        <f t="shared" si="46"/>
        <v>1</v>
      </c>
      <c r="G959" s="18" t="str">
        <f t="shared" si="47"/>
        <v>Sem premiação</v>
      </c>
    </row>
    <row r="960" spans="2:7" ht="20.100000000000001" customHeight="1" x14ac:dyDescent="0.25">
      <c r="B960" s="14" t="s">
        <v>1021</v>
      </c>
      <c r="C960" s="15">
        <v>1</v>
      </c>
      <c r="D960" s="16">
        <v>261.8</v>
      </c>
      <c r="E960" s="17">
        <f t="shared" si="45"/>
        <v>261.8</v>
      </c>
      <c r="F960" s="18">
        <f t="shared" si="46"/>
        <v>5</v>
      </c>
      <c r="G960" s="18" t="str">
        <f t="shared" si="47"/>
        <v>Sem premiação</v>
      </c>
    </row>
    <row r="961" spans="2:7" ht="20.100000000000001" customHeight="1" x14ac:dyDescent="0.25">
      <c r="B961" s="14" t="s">
        <v>1022</v>
      </c>
      <c r="C961" s="15">
        <v>1</v>
      </c>
      <c r="D961" s="16">
        <v>71.010000000000005</v>
      </c>
      <c r="E961" s="17">
        <f t="shared" si="45"/>
        <v>71.010000000000005</v>
      </c>
      <c r="F961" s="18">
        <f t="shared" si="46"/>
        <v>1</v>
      </c>
      <c r="G961" s="18" t="str">
        <f t="shared" si="47"/>
        <v>Sem premiação</v>
      </c>
    </row>
    <row r="962" spans="2:7" ht="20.100000000000001" customHeight="1" x14ac:dyDescent="0.25">
      <c r="B962" s="14" t="s">
        <v>1023</v>
      </c>
      <c r="C962" s="15">
        <v>1</v>
      </c>
      <c r="D962" s="16">
        <v>294.89999999999998</v>
      </c>
      <c r="E962" s="17">
        <f t="shared" si="45"/>
        <v>294.89999999999998</v>
      </c>
      <c r="F962" s="18">
        <f t="shared" si="46"/>
        <v>5</v>
      </c>
      <c r="G962" s="18" t="str">
        <f t="shared" si="47"/>
        <v>Sem premiação</v>
      </c>
    </row>
    <row r="963" spans="2:7" ht="20.100000000000001" customHeight="1" x14ac:dyDescent="0.25">
      <c r="B963" s="14" t="s">
        <v>1024</v>
      </c>
      <c r="C963" s="15">
        <v>1</v>
      </c>
      <c r="D963" s="16">
        <v>154.71</v>
      </c>
      <c r="E963" s="17">
        <f t="shared" si="45"/>
        <v>154.71</v>
      </c>
      <c r="F963" s="18">
        <f t="shared" si="46"/>
        <v>3</v>
      </c>
      <c r="G963" s="18" t="str">
        <f t="shared" si="47"/>
        <v>Sem premiação</v>
      </c>
    </row>
    <row r="964" spans="2:7" ht="20.100000000000001" customHeight="1" x14ac:dyDescent="0.25">
      <c r="B964" s="14" t="s">
        <v>1025</v>
      </c>
      <c r="C964" s="15">
        <v>1</v>
      </c>
      <c r="D964" s="16">
        <v>87.21</v>
      </c>
      <c r="E964" s="17">
        <f t="shared" si="45"/>
        <v>87.21</v>
      </c>
      <c r="F964" s="18">
        <f t="shared" si="46"/>
        <v>1</v>
      </c>
      <c r="G964" s="18" t="str">
        <f t="shared" si="47"/>
        <v>Sem premiação</v>
      </c>
    </row>
    <row r="965" spans="2:7" ht="20.100000000000001" customHeight="1" x14ac:dyDescent="0.25">
      <c r="B965" s="14" t="s">
        <v>1026</v>
      </c>
      <c r="C965" s="15">
        <v>1</v>
      </c>
      <c r="D965" s="16">
        <v>151.22</v>
      </c>
      <c r="E965" s="17">
        <f t="shared" si="45"/>
        <v>151.22</v>
      </c>
      <c r="F965" s="18">
        <f t="shared" si="46"/>
        <v>3</v>
      </c>
      <c r="G965" s="18" t="str">
        <f t="shared" si="47"/>
        <v>Sem premiação</v>
      </c>
    </row>
    <row r="966" spans="2:7" ht="20.100000000000001" customHeight="1" x14ac:dyDescent="0.25">
      <c r="B966" s="14" t="s">
        <v>1027</v>
      </c>
      <c r="C966" s="15">
        <v>1</v>
      </c>
      <c r="D966" s="16">
        <v>339.06</v>
      </c>
      <c r="E966" s="17">
        <f t="shared" si="45"/>
        <v>339.06</v>
      </c>
      <c r="F966" s="18">
        <f t="shared" si="46"/>
        <v>6</v>
      </c>
      <c r="G966" s="18" t="str">
        <f t="shared" si="47"/>
        <v>Sem premiação</v>
      </c>
    </row>
    <row r="967" spans="2:7" ht="20.100000000000001" customHeight="1" x14ac:dyDescent="0.25">
      <c r="B967" s="14" t="s">
        <v>1028</v>
      </c>
      <c r="C967" s="15">
        <v>1</v>
      </c>
      <c r="D967" s="16">
        <v>87.21</v>
      </c>
      <c r="E967" s="17">
        <f t="shared" si="45"/>
        <v>87.21</v>
      </c>
      <c r="F967" s="18">
        <f t="shared" si="46"/>
        <v>1</v>
      </c>
      <c r="G967" s="18" t="str">
        <f t="shared" si="47"/>
        <v>Sem premiação</v>
      </c>
    </row>
    <row r="968" spans="2:7" ht="20.100000000000001" customHeight="1" x14ac:dyDescent="0.25">
      <c r="B968" s="14" t="s">
        <v>1029</v>
      </c>
      <c r="C968" s="15">
        <v>1</v>
      </c>
      <c r="D968" s="16">
        <v>53.91</v>
      </c>
      <c r="E968" s="17">
        <f t="shared" si="45"/>
        <v>53.91</v>
      </c>
      <c r="F968" s="18">
        <f t="shared" si="46"/>
        <v>1</v>
      </c>
      <c r="G968" s="18" t="str">
        <f t="shared" si="47"/>
        <v>Sem premiação</v>
      </c>
    </row>
    <row r="969" spans="2:7" ht="20.100000000000001" customHeight="1" x14ac:dyDescent="0.25">
      <c r="B969" s="14" t="s">
        <v>1030</v>
      </c>
      <c r="C969" s="15">
        <v>1</v>
      </c>
      <c r="D969" s="16">
        <v>108.81</v>
      </c>
      <c r="E969" s="17">
        <f t="shared" si="45"/>
        <v>108.81</v>
      </c>
      <c r="F969" s="18">
        <f t="shared" si="46"/>
        <v>2</v>
      </c>
      <c r="G969" s="18" t="str">
        <f t="shared" si="47"/>
        <v>Sem premiação</v>
      </c>
    </row>
    <row r="970" spans="2:7" ht="20.100000000000001" customHeight="1" x14ac:dyDescent="0.25">
      <c r="B970" s="14" t="s">
        <v>1031</v>
      </c>
      <c r="C970" s="15">
        <v>1</v>
      </c>
      <c r="D970" s="16">
        <v>69.209999999999994</v>
      </c>
      <c r="E970" s="17">
        <f t="shared" si="45"/>
        <v>69.209999999999994</v>
      </c>
      <c r="F970" s="18">
        <f t="shared" si="46"/>
        <v>1</v>
      </c>
      <c r="G970" s="18" t="str">
        <f t="shared" si="47"/>
        <v>Sem premiação</v>
      </c>
    </row>
    <row r="971" spans="2:7" ht="20.100000000000001" customHeight="1" x14ac:dyDescent="0.25">
      <c r="B971" s="14" t="s">
        <v>1032</v>
      </c>
      <c r="C971" s="15">
        <v>1</v>
      </c>
      <c r="D971" s="16">
        <v>152.21</v>
      </c>
      <c r="E971" s="17">
        <f t="shared" si="45"/>
        <v>152.21</v>
      </c>
      <c r="F971" s="18">
        <f t="shared" si="46"/>
        <v>3</v>
      </c>
      <c r="G971" s="18" t="str">
        <f t="shared" si="47"/>
        <v>Sem premiação</v>
      </c>
    </row>
    <row r="972" spans="2:7" ht="20.100000000000001" customHeight="1" x14ac:dyDescent="0.25">
      <c r="B972" s="14" t="s">
        <v>1033</v>
      </c>
      <c r="C972" s="15">
        <v>1</v>
      </c>
      <c r="D972" s="16">
        <v>76.900000000000006</v>
      </c>
      <c r="E972" s="17">
        <f t="shared" si="45"/>
        <v>76.900000000000006</v>
      </c>
      <c r="F972" s="18">
        <f t="shared" si="46"/>
        <v>1</v>
      </c>
      <c r="G972" s="18" t="str">
        <f t="shared" si="47"/>
        <v>Sem premiação</v>
      </c>
    </row>
    <row r="973" spans="2:7" ht="20.100000000000001" customHeight="1" x14ac:dyDescent="0.25">
      <c r="B973" s="14" t="s">
        <v>1034</v>
      </c>
      <c r="C973" s="15">
        <v>1</v>
      </c>
      <c r="D973" s="16">
        <v>112.41</v>
      </c>
      <c r="E973" s="17">
        <f t="shared" si="45"/>
        <v>112.41</v>
      </c>
      <c r="F973" s="18">
        <f t="shared" si="46"/>
        <v>2</v>
      </c>
      <c r="G973" s="18" t="str">
        <f t="shared" si="47"/>
        <v>Sem premiação</v>
      </c>
    </row>
    <row r="974" spans="2:7" ht="20.100000000000001" customHeight="1" x14ac:dyDescent="0.25">
      <c r="B974" s="14" t="s">
        <v>1035</v>
      </c>
      <c r="C974" s="15">
        <v>1</v>
      </c>
      <c r="D974" s="16">
        <v>134.66</v>
      </c>
      <c r="E974" s="17">
        <f t="shared" si="45"/>
        <v>134.66</v>
      </c>
      <c r="F974" s="18">
        <f t="shared" si="46"/>
        <v>2</v>
      </c>
      <c r="G974" s="18" t="str">
        <f t="shared" si="47"/>
        <v>Sem premiação</v>
      </c>
    </row>
    <row r="975" spans="2:7" ht="20.100000000000001" customHeight="1" x14ac:dyDescent="0.25">
      <c r="B975" s="14" t="s">
        <v>1036</v>
      </c>
      <c r="C975" s="15">
        <v>1</v>
      </c>
      <c r="D975" s="16">
        <v>136.76</v>
      </c>
      <c r="E975" s="17">
        <f t="shared" si="45"/>
        <v>136.76</v>
      </c>
      <c r="F975" s="18">
        <f t="shared" si="46"/>
        <v>2</v>
      </c>
      <c r="G975" s="18" t="str">
        <f t="shared" si="47"/>
        <v>Sem premiação</v>
      </c>
    </row>
    <row r="976" spans="2:7" ht="20.100000000000001" customHeight="1" x14ac:dyDescent="0.25">
      <c r="B976" s="14" t="s">
        <v>1037</v>
      </c>
      <c r="C976" s="15">
        <v>1</v>
      </c>
      <c r="D976" s="16">
        <v>188.62</v>
      </c>
      <c r="E976" s="17">
        <f t="shared" si="45"/>
        <v>188.62</v>
      </c>
      <c r="F976" s="18">
        <f t="shared" si="46"/>
        <v>3</v>
      </c>
      <c r="G976" s="18" t="str">
        <f t="shared" si="47"/>
        <v>Sem premiação</v>
      </c>
    </row>
    <row r="977" spans="2:7" ht="20.100000000000001" customHeight="1" x14ac:dyDescent="0.25">
      <c r="B977" s="14" t="s">
        <v>1038</v>
      </c>
      <c r="C977" s="15">
        <v>1</v>
      </c>
      <c r="D977" s="16">
        <v>343.46</v>
      </c>
      <c r="E977" s="17">
        <f t="shared" si="45"/>
        <v>343.46</v>
      </c>
      <c r="F977" s="18">
        <f t="shared" si="46"/>
        <v>6</v>
      </c>
      <c r="G977" s="18" t="str">
        <f t="shared" si="47"/>
        <v>Sem premiação</v>
      </c>
    </row>
    <row r="978" spans="2:7" ht="20.100000000000001" customHeight="1" x14ac:dyDescent="0.25">
      <c r="B978" s="14" t="s">
        <v>1039</v>
      </c>
      <c r="C978" s="15">
        <v>1</v>
      </c>
      <c r="D978" s="16">
        <v>202.41</v>
      </c>
      <c r="E978" s="17">
        <f t="shared" si="45"/>
        <v>202.41</v>
      </c>
      <c r="F978" s="18">
        <f t="shared" si="46"/>
        <v>4</v>
      </c>
      <c r="G978" s="18" t="str">
        <f t="shared" si="47"/>
        <v>Sem premiação</v>
      </c>
    </row>
    <row r="979" spans="2:7" ht="20.100000000000001" customHeight="1" x14ac:dyDescent="0.25">
      <c r="B979" s="14" t="s">
        <v>1040</v>
      </c>
      <c r="C979" s="15">
        <v>1</v>
      </c>
      <c r="D979" s="16">
        <v>69.209999999999994</v>
      </c>
      <c r="E979" s="17">
        <f t="shared" si="45"/>
        <v>69.209999999999994</v>
      </c>
      <c r="F979" s="18">
        <f t="shared" si="46"/>
        <v>1</v>
      </c>
      <c r="G979" s="18" t="str">
        <f t="shared" si="47"/>
        <v>Sem premiação</v>
      </c>
    </row>
    <row r="980" spans="2:7" ht="20.100000000000001" customHeight="1" x14ac:dyDescent="0.25">
      <c r="B980" s="14" t="s">
        <v>1041</v>
      </c>
      <c r="C980" s="15">
        <v>1</v>
      </c>
      <c r="D980" s="16">
        <v>97.9</v>
      </c>
      <c r="E980" s="17">
        <f t="shared" si="45"/>
        <v>97.9</v>
      </c>
      <c r="F980" s="18">
        <f t="shared" si="46"/>
        <v>1</v>
      </c>
      <c r="G980" s="18" t="str">
        <f t="shared" si="47"/>
        <v>Sem premiação</v>
      </c>
    </row>
    <row r="981" spans="2:7" ht="20.100000000000001" customHeight="1" x14ac:dyDescent="0.25">
      <c r="B981" s="14" t="s">
        <v>1042</v>
      </c>
      <c r="C981" s="15">
        <v>1</v>
      </c>
      <c r="D981" s="16">
        <v>117.31</v>
      </c>
      <c r="E981" s="17">
        <f t="shared" si="45"/>
        <v>117.31</v>
      </c>
      <c r="F981" s="18">
        <f t="shared" si="46"/>
        <v>2</v>
      </c>
      <c r="G981" s="18" t="str">
        <f t="shared" si="47"/>
        <v>Sem premiação</v>
      </c>
    </row>
    <row r="982" spans="2:7" ht="20.100000000000001" customHeight="1" x14ac:dyDescent="0.25">
      <c r="B982" s="14" t="s">
        <v>1043</v>
      </c>
      <c r="C982" s="15">
        <v>1</v>
      </c>
      <c r="D982" s="16">
        <v>59.9</v>
      </c>
      <c r="E982" s="17">
        <f t="shared" si="45"/>
        <v>59.9</v>
      </c>
      <c r="F982" s="18">
        <f t="shared" si="46"/>
        <v>1</v>
      </c>
      <c r="G982" s="18" t="str">
        <f t="shared" si="47"/>
        <v>Sem premiação</v>
      </c>
    </row>
    <row r="983" spans="2:7" ht="20.100000000000001" customHeight="1" x14ac:dyDescent="0.25">
      <c r="B983" s="14" t="s">
        <v>1044</v>
      </c>
      <c r="C983" s="15">
        <v>1</v>
      </c>
      <c r="D983" s="16">
        <v>119.77</v>
      </c>
      <c r="E983" s="17">
        <f t="shared" si="45"/>
        <v>119.77</v>
      </c>
      <c r="F983" s="18">
        <f t="shared" si="46"/>
        <v>2</v>
      </c>
      <c r="G983" s="18" t="str">
        <f t="shared" si="47"/>
        <v>Sem premiação</v>
      </c>
    </row>
    <row r="984" spans="2:7" ht="20.100000000000001" customHeight="1" x14ac:dyDescent="0.25">
      <c r="B984" s="14" t="s">
        <v>1045</v>
      </c>
      <c r="C984" s="15">
        <v>1</v>
      </c>
      <c r="D984" s="16">
        <v>154.80000000000001</v>
      </c>
      <c r="E984" s="17">
        <f t="shared" si="45"/>
        <v>154.80000000000001</v>
      </c>
      <c r="F984" s="18">
        <f t="shared" si="46"/>
        <v>3</v>
      </c>
      <c r="G984" s="18" t="str">
        <f t="shared" si="47"/>
        <v>Sem premiação</v>
      </c>
    </row>
    <row r="985" spans="2:7" ht="20.100000000000001" customHeight="1" x14ac:dyDescent="0.25">
      <c r="B985" s="14" t="s">
        <v>1046</v>
      </c>
      <c r="C985" s="15">
        <v>1</v>
      </c>
      <c r="D985" s="16">
        <v>69.209999999999994</v>
      </c>
      <c r="E985" s="17">
        <f t="shared" si="45"/>
        <v>69.209999999999994</v>
      </c>
      <c r="F985" s="18">
        <f t="shared" si="46"/>
        <v>1</v>
      </c>
      <c r="G985" s="18" t="str">
        <f t="shared" si="47"/>
        <v>Sem premiação</v>
      </c>
    </row>
    <row r="986" spans="2:7" ht="20.100000000000001" customHeight="1" x14ac:dyDescent="0.25">
      <c r="B986" s="14" t="s">
        <v>1047</v>
      </c>
      <c r="C986" s="15">
        <v>1</v>
      </c>
      <c r="D986" s="16">
        <v>321.67</v>
      </c>
      <c r="E986" s="17">
        <f t="shared" ref="E986:E1017" si="48">D986/C986</f>
        <v>321.67</v>
      </c>
      <c r="F986" s="18">
        <f t="shared" ref="F986:F1017" si="49">IFERROR(C986*_xlfn.XLOOKUP(E986,$J$4:$J$13,$K$4:$K$13,0,-1),0)</f>
        <v>6</v>
      </c>
      <c r="G986" s="18" t="str">
        <f t="shared" ref="G986:G1017" si="50">IFERROR(VLOOKUP(F986,$J$16:$K$19,2,TRUE),"SEM PREMIAÇÃO")</f>
        <v>Sem premiação</v>
      </c>
    </row>
    <row r="987" spans="2:7" ht="20.100000000000001" customHeight="1" x14ac:dyDescent="0.25">
      <c r="B987" s="14" t="s">
        <v>1048</v>
      </c>
      <c r="C987" s="15">
        <v>1</v>
      </c>
      <c r="D987" s="16">
        <v>224.9</v>
      </c>
      <c r="E987" s="17">
        <f t="shared" si="48"/>
        <v>224.9</v>
      </c>
      <c r="F987" s="18">
        <f t="shared" si="49"/>
        <v>4</v>
      </c>
      <c r="G987" s="18" t="str">
        <f t="shared" si="50"/>
        <v>Sem premiação</v>
      </c>
    </row>
    <row r="988" spans="2:7" ht="20.100000000000001" customHeight="1" x14ac:dyDescent="0.25">
      <c r="B988" s="14" t="s">
        <v>1049</v>
      </c>
      <c r="C988" s="15">
        <v>1</v>
      </c>
      <c r="D988" s="16">
        <v>87.21</v>
      </c>
      <c r="E988" s="17">
        <f t="shared" si="48"/>
        <v>87.21</v>
      </c>
      <c r="F988" s="18">
        <f t="shared" si="49"/>
        <v>1</v>
      </c>
      <c r="G988" s="18" t="str">
        <f t="shared" si="50"/>
        <v>Sem premiação</v>
      </c>
    </row>
    <row r="989" spans="2:7" ht="20.100000000000001" customHeight="1" x14ac:dyDescent="0.25">
      <c r="B989" s="14" t="s">
        <v>1050</v>
      </c>
      <c r="C989" s="15">
        <v>1</v>
      </c>
      <c r="D989" s="16">
        <v>45.81</v>
      </c>
      <c r="E989" s="17">
        <f t="shared" si="48"/>
        <v>45.81</v>
      </c>
      <c r="F989" s="18">
        <f t="shared" si="49"/>
        <v>0</v>
      </c>
      <c r="G989" s="18" t="str">
        <f t="shared" si="50"/>
        <v>Sem premiação</v>
      </c>
    </row>
    <row r="990" spans="2:7" ht="20.100000000000001" customHeight="1" x14ac:dyDescent="0.25">
      <c r="B990" s="14" t="s">
        <v>1051</v>
      </c>
      <c r="C990" s="15">
        <v>1</v>
      </c>
      <c r="D990" s="16">
        <v>72.81</v>
      </c>
      <c r="E990" s="17">
        <f t="shared" si="48"/>
        <v>72.81</v>
      </c>
      <c r="F990" s="18">
        <f t="shared" si="49"/>
        <v>1</v>
      </c>
      <c r="G990" s="18" t="str">
        <f t="shared" si="50"/>
        <v>Sem premiação</v>
      </c>
    </row>
    <row r="991" spans="2:7" ht="20.100000000000001" customHeight="1" x14ac:dyDescent="0.25">
      <c r="B991" s="14" t="s">
        <v>1052</v>
      </c>
      <c r="C991" s="15">
        <v>1</v>
      </c>
      <c r="D991" s="16">
        <v>69.209999999999994</v>
      </c>
      <c r="E991" s="17">
        <f t="shared" si="48"/>
        <v>69.209999999999994</v>
      </c>
      <c r="F991" s="18">
        <f t="shared" si="49"/>
        <v>1</v>
      </c>
      <c r="G991" s="18" t="str">
        <f t="shared" si="50"/>
        <v>Sem premiação</v>
      </c>
    </row>
    <row r="992" spans="2:7" ht="20.100000000000001" customHeight="1" x14ac:dyDescent="0.25">
      <c r="B992" s="14" t="s">
        <v>1053</v>
      </c>
      <c r="C992" s="15">
        <v>1</v>
      </c>
      <c r="D992" s="16">
        <v>116.36</v>
      </c>
      <c r="E992" s="17">
        <f t="shared" si="48"/>
        <v>116.36</v>
      </c>
      <c r="F992" s="18">
        <f t="shared" si="49"/>
        <v>2</v>
      </c>
      <c r="G992" s="18" t="str">
        <f t="shared" si="50"/>
        <v>Sem premiação</v>
      </c>
    </row>
    <row r="993" spans="2:7" ht="20.100000000000001" customHeight="1" x14ac:dyDescent="0.25">
      <c r="B993" s="14" t="s">
        <v>1054</v>
      </c>
      <c r="C993" s="15">
        <v>1</v>
      </c>
      <c r="D993" s="16">
        <v>111.9</v>
      </c>
      <c r="E993" s="17">
        <f t="shared" si="48"/>
        <v>111.9</v>
      </c>
      <c r="F993" s="18">
        <f t="shared" si="49"/>
        <v>2</v>
      </c>
      <c r="G993" s="18" t="str">
        <f t="shared" si="50"/>
        <v>Sem premiação</v>
      </c>
    </row>
    <row r="994" spans="2:7" ht="20.100000000000001" customHeight="1" x14ac:dyDescent="0.25">
      <c r="B994" s="14" t="s">
        <v>1055</v>
      </c>
      <c r="C994" s="15">
        <v>1</v>
      </c>
      <c r="D994" s="16">
        <v>59.31</v>
      </c>
      <c r="E994" s="17">
        <f t="shared" si="48"/>
        <v>59.31</v>
      </c>
      <c r="F994" s="18">
        <f t="shared" si="49"/>
        <v>1</v>
      </c>
      <c r="G994" s="18" t="str">
        <f t="shared" si="50"/>
        <v>Sem premiação</v>
      </c>
    </row>
    <row r="995" spans="2:7" ht="20.100000000000001" customHeight="1" x14ac:dyDescent="0.25">
      <c r="B995" s="14" t="s">
        <v>1056</v>
      </c>
      <c r="C995" s="15">
        <v>1</v>
      </c>
      <c r="D995" s="16">
        <v>123.17</v>
      </c>
      <c r="E995" s="17">
        <f t="shared" si="48"/>
        <v>123.17</v>
      </c>
      <c r="F995" s="18">
        <f t="shared" si="49"/>
        <v>2</v>
      </c>
      <c r="G995" s="18" t="str">
        <f t="shared" si="50"/>
        <v>Sem premiação</v>
      </c>
    </row>
    <row r="996" spans="2:7" ht="20.100000000000001" customHeight="1" x14ac:dyDescent="0.25">
      <c r="B996" s="14" t="s">
        <v>1057</v>
      </c>
      <c r="C996" s="15">
        <v>1</v>
      </c>
      <c r="D996" s="16">
        <v>115</v>
      </c>
      <c r="E996" s="17">
        <f t="shared" si="48"/>
        <v>115</v>
      </c>
      <c r="F996" s="18">
        <f t="shared" si="49"/>
        <v>2</v>
      </c>
      <c r="G996" s="18" t="str">
        <f t="shared" si="50"/>
        <v>Sem premiação</v>
      </c>
    </row>
    <row r="997" spans="2:7" ht="20.100000000000001" customHeight="1" x14ac:dyDescent="0.25">
      <c r="B997" s="14" t="s">
        <v>1058</v>
      </c>
      <c r="C997" s="15">
        <v>1</v>
      </c>
      <c r="D997" s="16">
        <v>120.97</v>
      </c>
      <c r="E997" s="17">
        <f t="shared" si="48"/>
        <v>120.97</v>
      </c>
      <c r="F997" s="18">
        <f t="shared" si="49"/>
        <v>2</v>
      </c>
      <c r="G997" s="18" t="str">
        <f t="shared" si="50"/>
        <v>Sem premiação</v>
      </c>
    </row>
    <row r="998" spans="2:7" ht="20.100000000000001" customHeight="1" x14ac:dyDescent="0.25">
      <c r="B998" s="14" t="s">
        <v>1059</v>
      </c>
      <c r="C998" s="15">
        <v>1</v>
      </c>
      <c r="D998" s="16">
        <v>141.80000000000001</v>
      </c>
      <c r="E998" s="17">
        <f t="shared" si="48"/>
        <v>141.80000000000001</v>
      </c>
      <c r="F998" s="18">
        <f t="shared" si="49"/>
        <v>2</v>
      </c>
      <c r="G998" s="18" t="str">
        <f t="shared" si="50"/>
        <v>Sem premiação</v>
      </c>
    </row>
    <row r="999" spans="2:7" ht="20.100000000000001" customHeight="1" x14ac:dyDescent="0.25">
      <c r="B999" s="14" t="s">
        <v>1060</v>
      </c>
      <c r="C999" s="15">
        <v>1</v>
      </c>
      <c r="D999" s="16">
        <v>87.47</v>
      </c>
      <c r="E999" s="17">
        <f t="shared" si="48"/>
        <v>87.47</v>
      </c>
      <c r="F999" s="18">
        <f t="shared" si="49"/>
        <v>1</v>
      </c>
      <c r="G999" s="18" t="str">
        <f t="shared" si="50"/>
        <v>Sem premiação</v>
      </c>
    </row>
    <row r="1000" spans="2:7" ht="20.100000000000001" customHeight="1" x14ac:dyDescent="0.25">
      <c r="B1000" s="14" t="s">
        <v>1061</v>
      </c>
      <c r="C1000" s="15">
        <v>1</v>
      </c>
      <c r="D1000" s="16">
        <v>107.03</v>
      </c>
      <c r="E1000" s="17">
        <f t="shared" si="48"/>
        <v>107.03</v>
      </c>
      <c r="F1000" s="18">
        <f t="shared" si="49"/>
        <v>2</v>
      </c>
      <c r="G1000" s="18" t="str">
        <f t="shared" si="50"/>
        <v>Sem premiação</v>
      </c>
    </row>
    <row r="1001" spans="2:7" ht="20.100000000000001" customHeight="1" x14ac:dyDescent="0.25">
      <c r="B1001" s="14" t="s">
        <v>1062</v>
      </c>
      <c r="C1001" s="15">
        <v>1</v>
      </c>
      <c r="D1001" s="16">
        <v>87.21</v>
      </c>
      <c r="E1001" s="17">
        <f t="shared" si="48"/>
        <v>87.21</v>
      </c>
      <c r="F1001" s="18">
        <f t="shared" si="49"/>
        <v>1</v>
      </c>
      <c r="G1001" s="18" t="str">
        <f t="shared" si="50"/>
        <v>Sem premiação</v>
      </c>
    </row>
    <row r="1002" spans="2:7" ht="20.100000000000001" customHeight="1" x14ac:dyDescent="0.25">
      <c r="B1002" s="14" t="s">
        <v>1063</v>
      </c>
      <c r="C1002" s="15">
        <v>1</v>
      </c>
      <c r="D1002" s="16">
        <v>250</v>
      </c>
      <c r="E1002" s="17">
        <f t="shared" si="48"/>
        <v>250</v>
      </c>
      <c r="F1002" s="18">
        <f t="shared" si="49"/>
        <v>5</v>
      </c>
      <c r="G1002" s="18" t="str">
        <f t="shared" si="50"/>
        <v>Sem premiação</v>
      </c>
    </row>
    <row r="1003" spans="2:7" ht="20.100000000000001" customHeight="1" x14ac:dyDescent="0.25">
      <c r="B1003" s="14" t="s">
        <v>1064</v>
      </c>
      <c r="C1003" s="15">
        <v>1</v>
      </c>
      <c r="D1003" s="16">
        <v>157.16</v>
      </c>
      <c r="E1003" s="17">
        <f t="shared" si="48"/>
        <v>157.16</v>
      </c>
      <c r="F1003" s="18">
        <f t="shared" si="49"/>
        <v>3</v>
      </c>
      <c r="G1003" s="18" t="str">
        <f t="shared" si="50"/>
        <v>Sem premiação</v>
      </c>
    </row>
    <row r="1004" spans="2:7" ht="20.100000000000001" customHeight="1" x14ac:dyDescent="0.25">
      <c r="B1004" s="14" t="s">
        <v>1065</v>
      </c>
      <c r="C1004" s="15">
        <v>1</v>
      </c>
      <c r="D1004" s="16">
        <v>96.9</v>
      </c>
      <c r="E1004" s="17">
        <f t="shared" si="48"/>
        <v>96.9</v>
      </c>
      <c r="F1004" s="18">
        <f t="shared" si="49"/>
        <v>1</v>
      </c>
      <c r="G1004" s="18" t="str">
        <f t="shared" si="50"/>
        <v>Sem premiação</v>
      </c>
    </row>
    <row r="1005" spans="2:7" ht="20.100000000000001" customHeight="1" x14ac:dyDescent="0.25">
      <c r="B1005" s="14" t="s">
        <v>1066</v>
      </c>
      <c r="C1005" s="15">
        <v>1</v>
      </c>
      <c r="D1005" s="16">
        <v>65.900000000000006</v>
      </c>
      <c r="E1005" s="17">
        <f t="shared" si="48"/>
        <v>65.900000000000006</v>
      </c>
      <c r="F1005" s="18">
        <f t="shared" si="49"/>
        <v>1</v>
      </c>
      <c r="G1005" s="18" t="str">
        <f t="shared" si="50"/>
        <v>Sem premiação</v>
      </c>
    </row>
    <row r="1006" spans="2:7" ht="20.100000000000001" customHeight="1" x14ac:dyDescent="0.25">
      <c r="B1006" s="14" t="s">
        <v>1067</v>
      </c>
      <c r="C1006" s="15">
        <v>1</v>
      </c>
      <c r="D1006" s="16">
        <v>69.209999999999994</v>
      </c>
      <c r="E1006" s="17">
        <f t="shared" si="48"/>
        <v>69.209999999999994</v>
      </c>
      <c r="F1006" s="18">
        <f t="shared" si="49"/>
        <v>1</v>
      </c>
      <c r="G1006" s="18" t="str">
        <f t="shared" si="50"/>
        <v>Sem premiação</v>
      </c>
    </row>
    <row r="1007" spans="2:7" ht="20.100000000000001" customHeight="1" x14ac:dyDescent="0.25">
      <c r="B1007" s="14" t="s">
        <v>1068</v>
      </c>
      <c r="C1007" s="15">
        <v>1</v>
      </c>
      <c r="D1007" s="16">
        <v>199.71</v>
      </c>
      <c r="E1007" s="17">
        <f t="shared" si="48"/>
        <v>199.71</v>
      </c>
      <c r="F1007" s="18">
        <f t="shared" si="49"/>
        <v>3</v>
      </c>
      <c r="G1007" s="18" t="str">
        <f t="shared" si="50"/>
        <v>Sem premiação</v>
      </c>
    </row>
    <row r="1008" spans="2:7" ht="20.100000000000001" customHeight="1" x14ac:dyDescent="0.25">
      <c r="B1008" s="14" t="s">
        <v>1069</v>
      </c>
      <c r="C1008" s="15">
        <v>1</v>
      </c>
      <c r="D1008" s="16">
        <v>81.81</v>
      </c>
      <c r="E1008" s="17">
        <f t="shared" si="48"/>
        <v>81.81</v>
      </c>
      <c r="F1008" s="18">
        <f t="shared" si="49"/>
        <v>1</v>
      </c>
      <c r="G1008" s="18" t="str">
        <f t="shared" si="50"/>
        <v>Sem premiação</v>
      </c>
    </row>
    <row r="1009" spans="2:7" ht="20.100000000000001" customHeight="1" x14ac:dyDescent="0.25">
      <c r="B1009" s="14" t="s">
        <v>1070</v>
      </c>
      <c r="C1009" s="15">
        <v>1</v>
      </c>
      <c r="D1009" s="16">
        <v>189.51</v>
      </c>
      <c r="E1009" s="17">
        <f t="shared" si="48"/>
        <v>189.51</v>
      </c>
      <c r="F1009" s="18">
        <f t="shared" si="49"/>
        <v>3</v>
      </c>
      <c r="G1009" s="18" t="str">
        <f t="shared" si="50"/>
        <v>Sem premiação</v>
      </c>
    </row>
    <row r="1010" spans="2:7" ht="20.100000000000001" customHeight="1" x14ac:dyDescent="0.25">
      <c r="B1010" s="14" t="s">
        <v>1071</v>
      </c>
      <c r="C1010" s="15">
        <v>1</v>
      </c>
      <c r="D1010" s="16">
        <v>144.9</v>
      </c>
      <c r="E1010" s="17">
        <f t="shared" si="48"/>
        <v>144.9</v>
      </c>
      <c r="F1010" s="18">
        <f t="shared" si="49"/>
        <v>2</v>
      </c>
      <c r="G1010" s="18" t="str">
        <f t="shared" si="50"/>
        <v>Sem premiação</v>
      </c>
    </row>
    <row r="1011" spans="2:7" ht="20.100000000000001" customHeight="1" x14ac:dyDescent="0.25">
      <c r="B1011" s="14" t="s">
        <v>1072</v>
      </c>
      <c r="C1011" s="15">
        <v>1</v>
      </c>
      <c r="D1011" s="16">
        <v>69.900000000000006</v>
      </c>
      <c r="E1011" s="17">
        <f t="shared" si="48"/>
        <v>69.900000000000006</v>
      </c>
      <c r="F1011" s="18">
        <f t="shared" si="49"/>
        <v>1</v>
      </c>
      <c r="G1011" s="18" t="str">
        <f t="shared" si="50"/>
        <v>Sem premiação</v>
      </c>
    </row>
    <row r="1012" spans="2:7" ht="20.100000000000001" customHeight="1" x14ac:dyDescent="0.25">
      <c r="B1012" s="14" t="s">
        <v>1073</v>
      </c>
      <c r="C1012" s="15">
        <v>1</v>
      </c>
      <c r="D1012" s="16">
        <v>100.21</v>
      </c>
      <c r="E1012" s="17">
        <f t="shared" si="48"/>
        <v>100.21</v>
      </c>
      <c r="F1012" s="18">
        <f t="shared" si="49"/>
        <v>2</v>
      </c>
      <c r="G1012" s="18" t="str">
        <f t="shared" si="50"/>
        <v>Sem premiação</v>
      </c>
    </row>
    <row r="1013" spans="2:7" ht="20.100000000000001" customHeight="1" x14ac:dyDescent="0.25">
      <c r="B1013" s="14" t="s">
        <v>1074</v>
      </c>
      <c r="C1013" s="15">
        <v>1</v>
      </c>
      <c r="D1013" s="16">
        <v>107.61</v>
      </c>
      <c r="E1013" s="17">
        <f t="shared" si="48"/>
        <v>107.61</v>
      </c>
      <c r="F1013" s="18">
        <f t="shared" si="49"/>
        <v>2</v>
      </c>
      <c r="G1013" s="18" t="str">
        <f t="shared" si="50"/>
        <v>Sem premiação</v>
      </c>
    </row>
    <row r="1014" spans="2:7" ht="20.100000000000001" customHeight="1" x14ac:dyDescent="0.25">
      <c r="B1014" s="14" t="s">
        <v>1075</v>
      </c>
      <c r="C1014" s="15">
        <v>1</v>
      </c>
      <c r="D1014" s="16">
        <v>301.89999999999998</v>
      </c>
      <c r="E1014" s="17">
        <f t="shared" si="48"/>
        <v>301.89999999999998</v>
      </c>
      <c r="F1014" s="18">
        <f t="shared" si="49"/>
        <v>6</v>
      </c>
      <c r="G1014" s="18" t="str">
        <f t="shared" si="50"/>
        <v>Sem premiação</v>
      </c>
    </row>
    <row r="1015" spans="2:7" ht="20.100000000000001" customHeight="1" x14ac:dyDescent="0.25">
      <c r="B1015" s="14" t="s">
        <v>1076</v>
      </c>
      <c r="C1015" s="15">
        <v>1</v>
      </c>
      <c r="D1015" s="16">
        <v>102.9</v>
      </c>
      <c r="E1015" s="17">
        <f t="shared" si="48"/>
        <v>102.9</v>
      </c>
      <c r="F1015" s="18">
        <f t="shared" si="49"/>
        <v>2</v>
      </c>
      <c r="G1015" s="18" t="str">
        <f t="shared" si="50"/>
        <v>Sem premiação</v>
      </c>
    </row>
    <row r="1016" spans="2:7" ht="20.100000000000001" customHeight="1" x14ac:dyDescent="0.25">
      <c r="B1016" s="14" t="s">
        <v>1077</v>
      </c>
      <c r="C1016" s="15">
        <v>1</v>
      </c>
      <c r="D1016" s="16">
        <v>157.16</v>
      </c>
      <c r="E1016" s="17">
        <f t="shared" si="48"/>
        <v>157.16</v>
      </c>
      <c r="F1016" s="18">
        <f t="shared" si="49"/>
        <v>3</v>
      </c>
      <c r="G1016" s="18" t="str">
        <f t="shared" si="50"/>
        <v>Sem premiação</v>
      </c>
    </row>
    <row r="1017" spans="2:7" ht="20.100000000000001" customHeight="1" x14ac:dyDescent="0.25">
      <c r="B1017" s="14" t="s">
        <v>1078</v>
      </c>
      <c r="C1017" s="15">
        <v>1</v>
      </c>
      <c r="D1017" s="16">
        <v>160.9</v>
      </c>
      <c r="E1017" s="17">
        <f t="shared" si="48"/>
        <v>160.9</v>
      </c>
      <c r="F1017" s="18">
        <f t="shared" si="49"/>
        <v>3</v>
      </c>
      <c r="G1017" s="18" t="str">
        <f t="shared" si="50"/>
        <v>Sem premiação</v>
      </c>
    </row>
    <row r="1018" spans="2:7" ht="20.100000000000001" customHeight="1" x14ac:dyDescent="0.25">
      <c r="B1018" s="14" t="s">
        <v>1079</v>
      </c>
      <c r="C1018" s="15">
        <v>1</v>
      </c>
      <c r="D1018" s="16">
        <v>254.93</v>
      </c>
      <c r="E1018" s="17">
        <f t="shared" ref="E1018:E1049" si="51">D1018/C1018</f>
        <v>254.93</v>
      </c>
      <c r="F1018" s="18">
        <f t="shared" ref="F1018:F1049" si="52">IFERROR(C1018*_xlfn.XLOOKUP(E1018,$J$4:$J$13,$K$4:$K$13,0,-1),0)</f>
        <v>5</v>
      </c>
      <c r="G1018" s="18" t="str">
        <f t="shared" ref="G1018:G1049" si="53">IFERROR(VLOOKUP(F1018,$J$16:$K$19,2,TRUE),"SEM PREMIAÇÃO")</f>
        <v>Sem premiação</v>
      </c>
    </row>
    <row r="1019" spans="2:7" ht="20.100000000000001" customHeight="1" x14ac:dyDescent="0.25">
      <c r="B1019" s="14" t="s">
        <v>1080</v>
      </c>
      <c r="C1019" s="15">
        <v>1</v>
      </c>
      <c r="D1019" s="16">
        <v>250.66</v>
      </c>
      <c r="E1019" s="17">
        <f t="shared" si="51"/>
        <v>250.66</v>
      </c>
      <c r="F1019" s="18">
        <f t="shared" si="52"/>
        <v>5</v>
      </c>
      <c r="G1019" s="18" t="str">
        <f t="shared" si="53"/>
        <v>Sem premiação</v>
      </c>
    </row>
    <row r="1020" spans="2:7" ht="20.100000000000001" customHeight="1" x14ac:dyDescent="0.25">
      <c r="B1020" s="14" t="s">
        <v>1081</v>
      </c>
      <c r="C1020" s="15">
        <v>1</v>
      </c>
      <c r="D1020" s="16">
        <v>270.56</v>
      </c>
      <c r="E1020" s="17">
        <f t="shared" si="51"/>
        <v>270.56</v>
      </c>
      <c r="F1020" s="18">
        <f t="shared" si="52"/>
        <v>5</v>
      </c>
      <c r="G1020" s="18" t="str">
        <f t="shared" si="53"/>
        <v>Sem premiação</v>
      </c>
    </row>
    <row r="1021" spans="2:7" ht="20.100000000000001" customHeight="1" x14ac:dyDescent="0.25">
      <c r="B1021" s="14" t="s">
        <v>1082</v>
      </c>
      <c r="C1021" s="15">
        <v>1</v>
      </c>
      <c r="D1021" s="16">
        <v>193.51</v>
      </c>
      <c r="E1021" s="17">
        <f t="shared" si="51"/>
        <v>193.51</v>
      </c>
      <c r="F1021" s="18">
        <f t="shared" si="52"/>
        <v>3</v>
      </c>
      <c r="G1021" s="18" t="str">
        <f t="shared" si="53"/>
        <v>Sem premiação</v>
      </c>
    </row>
    <row r="1022" spans="2:7" ht="20.100000000000001" customHeight="1" x14ac:dyDescent="0.25">
      <c r="B1022" s="14" t="s">
        <v>1083</v>
      </c>
      <c r="C1022" s="15">
        <v>1</v>
      </c>
      <c r="D1022" s="16">
        <v>87.21</v>
      </c>
      <c r="E1022" s="17">
        <f t="shared" si="51"/>
        <v>87.21</v>
      </c>
      <c r="F1022" s="18">
        <f t="shared" si="52"/>
        <v>1</v>
      </c>
      <c r="G1022" s="18" t="str">
        <f t="shared" si="53"/>
        <v>Sem premiação</v>
      </c>
    </row>
    <row r="1023" spans="2:7" ht="20.100000000000001" customHeight="1" x14ac:dyDescent="0.25">
      <c r="B1023" s="14" t="s">
        <v>1084</v>
      </c>
      <c r="C1023" s="15">
        <v>1</v>
      </c>
      <c r="D1023" s="16">
        <v>127.8</v>
      </c>
      <c r="E1023" s="17">
        <f t="shared" si="51"/>
        <v>127.8</v>
      </c>
      <c r="F1023" s="18">
        <f t="shared" si="52"/>
        <v>2</v>
      </c>
      <c r="G1023" s="18" t="str">
        <f t="shared" si="53"/>
        <v>Sem premiação</v>
      </c>
    </row>
    <row r="1024" spans="2:7" ht="20.100000000000001" customHeight="1" x14ac:dyDescent="0.25">
      <c r="B1024" s="14" t="s">
        <v>1085</v>
      </c>
      <c r="C1024" s="15">
        <v>1</v>
      </c>
      <c r="D1024" s="16">
        <v>181.81</v>
      </c>
      <c r="E1024" s="17">
        <f t="shared" si="51"/>
        <v>181.81</v>
      </c>
      <c r="F1024" s="18">
        <f t="shared" si="52"/>
        <v>3</v>
      </c>
      <c r="G1024" s="18" t="str">
        <f t="shared" si="53"/>
        <v>Sem premiação</v>
      </c>
    </row>
    <row r="1025" spans="2:7" ht="20.100000000000001" customHeight="1" x14ac:dyDescent="0.25">
      <c r="B1025" s="14" t="s">
        <v>1086</v>
      </c>
      <c r="C1025" s="15">
        <v>1</v>
      </c>
      <c r="D1025" s="16">
        <v>100.71</v>
      </c>
      <c r="E1025" s="17">
        <f t="shared" si="51"/>
        <v>100.71</v>
      </c>
      <c r="F1025" s="18">
        <f t="shared" si="52"/>
        <v>2</v>
      </c>
      <c r="G1025" s="18" t="str">
        <f t="shared" si="53"/>
        <v>Sem premiação</v>
      </c>
    </row>
    <row r="1026" spans="2:7" ht="20.100000000000001" customHeight="1" x14ac:dyDescent="0.25">
      <c r="B1026" s="14" t="s">
        <v>1087</v>
      </c>
      <c r="C1026" s="15">
        <v>1</v>
      </c>
      <c r="D1026" s="16">
        <v>170.03</v>
      </c>
      <c r="E1026" s="17">
        <f t="shared" si="51"/>
        <v>170.03</v>
      </c>
      <c r="F1026" s="18">
        <f t="shared" si="52"/>
        <v>3</v>
      </c>
      <c r="G1026" s="18" t="str">
        <f t="shared" si="53"/>
        <v>Sem premiação</v>
      </c>
    </row>
    <row r="1027" spans="2:7" ht="20.100000000000001" customHeight="1" x14ac:dyDescent="0.25">
      <c r="B1027" s="14" t="s">
        <v>1088</v>
      </c>
      <c r="C1027" s="15">
        <v>1</v>
      </c>
      <c r="D1027" s="16">
        <v>227.72</v>
      </c>
      <c r="E1027" s="17">
        <f t="shared" si="51"/>
        <v>227.72</v>
      </c>
      <c r="F1027" s="18">
        <f t="shared" si="52"/>
        <v>4</v>
      </c>
      <c r="G1027" s="18" t="str">
        <f t="shared" si="53"/>
        <v>Sem premiação</v>
      </c>
    </row>
    <row r="1028" spans="2:7" ht="20.100000000000001" customHeight="1" x14ac:dyDescent="0.25">
      <c r="B1028" s="14" t="s">
        <v>1089</v>
      </c>
      <c r="C1028" s="15">
        <v>1</v>
      </c>
      <c r="D1028" s="16">
        <v>87.21</v>
      </c>
      <c r="E1028" s="17">
        <f t="shared" si="51"/>
        <v>87.21</v>
      </c>
      <c r="F1028" s="18">
        <f t="shared" si="52"/>
        <v>1</v>
      </c>
      <c r="G1028" s="18" t="str">
        <f t="shared" si="53"/>
        <v>Sem premiação</v>
      </c>
    </row>
    <row r="1029" spans="2:7" ht="20.100000000000001" customHeight="1" x14ac:dyDescent="0.25">
      <c r="B1029" s="14" t="s">
        <v>1090</v>
      </c>
      <c r="C1029" s="15">
        <v>1</v>
      </c>
      <c r="D1029" s="16">
        <v>69.209999999999994</v>
      </c>
      <c r="E1029" s="17">
        <f t="shared" si="51"/>
        <v>69.209999999999994</v>
      </c>
      <c r="F1029" s="18">
        <f t="shared" si="52"/>
        <v>1</v>
      </c>
      <c r="G1029" s="18" t="str">
        <f t="shared" si="53"/>
        <v>Sem premiação</v>
      </c>
    </row>
    <row r="1030" spans="2:7" ht="20.100000000000001" customHeight="1" x14ac:dyDescent="0.25">
      <c r="B1030" s="14" t="s">
        <v>1091</v>
      </c>
      <c r="C1030" s="15">
        <v>1</v>
      </c>
      <c r="D1030" s="16">
        <v>193.51</v>
      </c>
      <c r="E1030" s="17">
        <f t="shared" si="51"/>
        <v>193.51</v>
      </c>
      <c r="F1030" s="18">
        <f t="shared" si="52"/>
        <v>3</v>
      </c>
      <c r="G1030" s="18" t="str">
        <f t="shared" si="53"/>
        <v>Sem premiação</v>
      </c>
    </row>
    <row r="1031" spans="2:7" ht="20.100000000000001" customHeight="1" x14ac:dyDescent="0.25">
      <c r="B1031" s="14" t="s">
        <v>1092</v>
      </c>
      <c r="C1031" s="15">
        <v>1</v>
      </c>
      <c r="D1031" s="16">
        <v>145</v>
      </c>
      <c r="E1031" s="17">
        <f t="shared" si="51"/>
        <v>145</v>
      </c>
      <c r="F1031" s="18">
        <f t="shared" si="52"/>
        <v>2</v>
      </c>
      <c r="G1031" s="18" t="str">
        <f t="shared" si="53"/>
        <v>Sem premiação</v>
      </c>
    </row>
    <row r="1032" spans="2:7" ht="20.100000000000001" customHeight="1" x14ac:dyDescent="0.25">
      <c r="B1032" s="14" t="s">
        <v>1093</v>
      </c>
      <c r="C1032" s="15">
        <v>1</v>
      </c>
      <c r="D1032" s="16">
        <v>135.81</v>
      </c>
      <c r="E1032" s="17">
        <f t="shared" si="51"/>
        <v>135.81</v>
      </c>
      <c r="F1032" s="18">
        <f t="shared" si="52"/>
        <v>2</v>
      </c>
      <c r="G1032" s="18" t="str">
        <f t="shared" si="53"/>
        <v>Sem premiação</v>
      </c>
    </row>
    <row r="1033" spans="2:7" ht="20.100000000000001" customHeight="1" x14ac:dyDescent="0.25">
      <c r="B1033" s="14" t="s">
        <v>1094</v>
      </c>
      <c r="C1033" s="15">
        <v>1</v>
      </c>
      <c r="D1033" s="16">
        <v>63.81</v>
      </c>
      <c r="E1033" s="17">
        <f t="shared" si="51"/>
        <v>63.81</v>
      </c>
      <c r="F1033" s="18">
        <f t="shared" si="52"/>
        <v>1</v>
      </c>
      <c r="G1033" s="18" t="str">
        <f t="shared" si="53"/>
        <v>Sem premiação</v>
      </c>
    </row>
    <row r="1034" spans="2:7" ht="20.100000000000001" customHeight="1" x14ac:dyDescent="0.25">
      <c r="B1034" s="14" t="s">
        <v>1095</v>
      </c>
      <c r="C1034" s="15">
        <v>1</v>
      </c>
      <c r="D1034" s="16">
        <v>69.209999999999994</v>
      </c>
      <c r="E1034" s="17">
        <f t="shared" si="51"/>
        <v>69.209999999999994</v>
      </c>
      <c r="F1034" s="18">
        <f t="shared" si="52"/>
        <v>1</v>
      </c>
      <c r="G1034" s="18" t="str">
        <f t="shared" si="53"/>
        <v>Sem premiação</v>
      </c>
    </row>
    <row r="1035" spans="2:7" ht="20.100000000000001" customHeight="1" x14ac:dyDescent="0.25">
      <c r="B1035" s="14" t="s">
        <v>1096</v>
      </c>
      <c r="C1035" s="15">
        <v>1</v>
      </c>
      <c r="D1035" s="16">
        <v>69.209999999999994</v>
      </c>
      <c r="E1035" s="17">
        <f t="shared" si="51"/>
        <v>69.209999999999994</v>
      </c>
      <c r="F1035" s="18">
        <f t="shared" si="52"/>
        <v>1</v>
      </c>
      <c r="G1035" s="18" t="str">
        <f t="shared" si="53"/>
        <v>Sem premiação</v>
      </c>
    </row>
    <row r="1036" spans="2:7" ht="20.100000000000001" customHeight="1" x14ac:dyDescent="0.25">
      <c r="B1036" s="14" t="s">
        <v>1097</v>
      </c>
      <c r="C1036" s="15">
        <v>1</v>
      </c>
      <c r="D1036" s="16">
        <v>71.010000000000005</v>
      </c>
      <c r="E1036" s="17">
        <f t="shared" si="51"/>
        <v>71.010000000000005</v>
      </c>
      <c r="F1036" s="18">
        <f t="shared" si="52"/>
        <v>1</v>
      </c>
      <c r="G1036" s="18" t="str">
        <f t="shared" si="53"/>
        <v>Sem premiação</v>
      </c>
    </row>
    <row r="1037" spans="2:7" ht="20.100000000000001" customHeight="1" x14ac:dyDescent="0.25">
      <c r="B1037" s="14" t="s">
        <v>1098</v>
      </c>
      <c r="C1037" s="15">
        <v>1</v>
      </c>
      <c r="D1037" s="16">
        <v>144.80000000000001</v>
      </c>
      <c r="E1037" s="17">
        <f t="shared" si="51"/>
        <v>144.80000000000001</v>
      </c>
      <c r="F1037" s="18">
        <f t="shared" si="52"/>
        <v>2</v>
      </c>
      <c r="G1037" s="18" t="str">
        <f t="shared" si="53"/>
        <v>Sem premiação</v>
      </c>
    </row>
    <row r="1038" spans="2:7" ht="20.100000000000001" customHeight="1" x14ac:dyDescent="0.25">
      <c r="B1038" s="14" t="s">
        <v>1099</v>
      </c>
      <c r="C1038" s="15">
        <v>1</v>
      </c>
      <c r="D1038" s="16">
        <v>71.010000000000005</v>
      </c>
      <c r="E1038" s="17">
        <f t="shared" si="51"/>
        <v>71.010000000000005</v>
      </c>
      <c r="F1038" s="18">
        <f t="shared" si="52"/>
        <v>1</v>
      </c>
      <c r="G1038" s="18" t="str">
        <f t="shared" si="53"/>
        <v>Sem premiação</v>
      </c>
    </row>
    <row r="1039" spans="2:7" ht="20.100000000000001" customHeight="1" x14ac:dyDescent="0.25">
      <c r="B1039" s="14" t="s">
        <v>1100</v>
      </c>
      <c r="C1039" s="15">
        <v>1</v>
      </c>
      <c r="D1039" s="16">
        <v>310.17</v>
      </c>
      <c r="E1039" s="17">
        <f t="shared" si="51"/>
        <v>310.17</v>
      </c>
      <c r="F1039" s="18">
        <f t="shared" si="52"/>
        <v>6</v>
      </c>
      <c r="G1039" s="18" t="str">
        <f t="shared" si="53"/>
        <v>Sem premiação</v>
      </c>
    </row>
    <row r="1040" spans="2:7" ht="20.100000000000001" customHeight="1" x14ac:dyDescent="0.25">
      <c r="B1040" s="14" t="s">
        <v>1101</v>
      </c>
      <c r="C1040" s="15">
        <v>1</v>
      </c>
      <c r="D1040" s="16">
        <v>140</v>
      </c>
      <c r="E1040" s="17">
        <f t="shared" si="51"/>
        <v>140</v>
      </c>
      <c r="F1040" s="18">
        <f t="shared" si="52"/>
        <v>2</v>
      </c>
      <c r="G1040" s="18" t="str">
        <f t="shared" si="53"/>
        <v>Sem premiação</v>
      </c>
    </row>
    <row r="1041" spans="2:7" ht="20.100000000000001" customHeight="1" x14ac:dyDescent="0.25">
      <c r="B1041" s="14" t="s">
        <v>1102</v>
      </c>
      <c r="C1041" s="15">
        <v>1</v>
      </c>
      <c r="D1041" s="16">
        <v>119.77</v>
      </c>
      <c r="E1041" s="17">
        <f t="shared" si="51"/>
        <v>119.77</v>
      </c>
      <c r="F1041" s="18">
        <f t="shared" si="52"/>
        <v>2</v>
      </c>
      <c r="G1041" s="18" t="str">
        <f t="shared" si="53"/>
        <v>Sem premiação</v>
      </c>
    </row>
    <row r="1042" spans="2:7" ht="20.100000000000001" customHeight="1" x14ac:dyDescent="0.25">
      <c r="B1042" s="14" t="s">
        <v>1103</v>
      </c>
      <c r="C1042" s="15">
        <v>1</v>
      </c>
      <c r="D1042" s="16">
        <v>76.42</v>
      </c>
      <c r="E1042" s="17">
        <f t="shared" si="51"/>
        <v>76.42</v>
      </c>
      <c r="F1042" s="18">
        <f t="shared" si="52"/>
        <v>1</v>
      </c>
      <c r="G1042" s="18" t="str">
        <f t="shared" si="53"/>
        <v>Sem premiação</v>
      </c>
    </row>
    <row r="1043" spans="2:7" ht="20.100000000000001" customHeight="1" x14ac:dyDescent="0.25">
      <c r="B1043" s="14" t="s">
        <v>1104</v>
      </c>
      <c r="C1043" s="15">
        <v>1</v>
      </c>
      <c r="D1043" s="16">
        <v>59.31</v>
      </c>
      <c r="E1043" s="17">
        <f t="shared" si="51"/>
        <v>59.31</v>
      </c>
      <c r="F1043" s="18">
        <f t="shared" si="52"/>
        <v>1</v>
      </c>
      <c r="G1043" s="18" t="str">
        <f t="shared" si="53"/>
        <v>Sem premiação</v>
      </c>
    </row>
    <row r="1044" spans="2:7" ht="20.100000000000001" customHeight="1" x14ac:dyDescent="0.25">
      <c r="B1044" s="14" t="s">
        <v>1105</v>
      </c>
      <c r="C1044" s="15">
        <v>1</v>
      </c>
      <c r="D1044" s="16">
        <v>87.21</v>
      </c>
      <c r="E1044" s="17">
        <f t="shared" si="51"/>
        <v>87.21</v>
      </c>
      <c r="F1044" s="18">
        <f t="shared" si="52"/>
        <v>1</v>
      </c>
      <c r="G1044" s="18" t="str">
        <f t="shared" si="53"/>
        <v>Sem premiação</v>
      </c>
    </row>
    <row r="1045" spans="2:7" ht="20.100000000000001" customHeight="1" x14ac:dyDescent="0.25">
      <c r="B1045" s="14" t="s">
        <v>1106</v>
      </c>
      <c r="C1045" s="15">
        <v>1</v>
      </c>
      <c r="D1045" s="16">
        <v>136.43</v>
      </c>
      <c r="E1045" s="17">
        <f t="shared" si="51"/>
        <v>136.43</v>
      </c>
      <c r="F1045" s="18">
        <f t="shared" si="52"/>
        <v>2</v>
      </c>
      <c r="G1045" s="18" t="str">
        <f t="shared" si="53"/>
        <v>Sem premiação</v>
      </c>
    </row>
    <row r="1046" spans="2:7" ht="20.100000000000001" customHeight="1" x14ac:dyDescent="0.25">
      <c r="B1046" s="14" t="s">
        <v>1107</v>
      </c>
      <c r="C1046" s="15">
        <v>1</v>
      </c>
      <c r="D1046" s="16">
        <v>205.62</v>
      </c>
      <c r="E1046" s="17">
        <f t="shared" si="51"/>
        <v>205.62</v>
      </c>
      <c r="F1046" s="18">
        <f t="shared" si="52"/>
        <v>4</v>
      </c>
      <c r="G1046" s="18" t="str">
        <f t="shared" si="53"/>
        <v>Sem premiação</v>
      </c>
    </row>
    <row r="1047" spans="2:7" ht="20.100000000000001" customHeight="1" x14ac:dyDescent="0.25">
      <c r="B1047" s="14" t="s">
        <v>1108</v>
      </c>
      <c r="C1047" s="15">
        <v>1</v>
      </c>
      <c r="D1047" s="16">
        <v>128.72</v>
      </c>
      <c r="E1047" s="17">
        <f t="shared" si="51"/>
        <v>128.72</v>
      </c>
      <c r="F1047" s="18">
        <f t="shared" si="52"/>
        <v>2</v>
      </c>
      <c r="G1047" s="18" t="str">
        <f t="shared" si="53"/>
        <v>Sem premiação</v>
      </c>
    </row>
    <row r="1048" spans="2:7" ht="20.100000000000001" customHeight="1" x14ac:dyDescent="0.25">
      <c r="B1048" s="14" t="s">
        <v>1109</v>
      </c>
      <c r="C1048" s="15">
        <v>1</v>
      </c>
      <c r="D1048" s="16">
        <v>108.81</v>
      </c>
      <c r="E1048" s="17">
        <f t="shared" si="51"/>
        <v>108.81</v>
      </c>
      <c r="F1048" s="18">
        <f t="shared" si="52"/>
        <v>2</v>
      </c>
      <c r="G1048" s="18" t="str">
        <f t="shared" si="53"/>
        <v>Sem premiação</v>
      </c>
    </row>
    <row r="1049" spans="2:7" ht="20.100000000000001" customHeight="1" x14ac:dyDescent="0.25">
      <c r="B1049" s="14" t="s">
        <v>1110</v>
      </c>
      <c r="C1049" s="15">
        <v>1</v>
      </c>
      <c r="D1049" s="16">
        <v>111.9</v>
      </c>
      <c r="E1049" s="17">
        <f t="shared" si="51"/>
        <v>111.9</v>
      </c>
      <c r="F1049" s="18">
        <f t="shared" si="52"/>
        <v>2</v>
      </c>
      <c r="G1049" s="18" t="str">
        <f t="shared" si="53"/>
        <v>Sem premiação</v>
      </c>
    </row>
    <row r="1050" spans="2:7" ht="20.100000000000001" customHeight="1" x14ac:dyDescent="0.25">
      <c r="B1050" s="14" t="s">
        <v>1111</v>
      </c>
      <c r="C1050" s="15">
        <v>1</v>
      </c>
      <c r="D1050" s="16">
        <v>637.33000000000004</v>
      </c>
      <c r="E1050" s="17">
        <f t="shared" ref="E1050:E1081" si="54">D1050/C1050</f>
        <v>637.33000000000004</v>
      </c>
      <c r="F1050" s="18">
        <f t="shared" ref="F1050:F1081" si="55">IFERROR(C1050*_xlfn.XLOOKUP(E1050,$J$4:$J$13,$K$4:$K$13,0,-1),0)</f>
        <v>10</v>
      </c>
      <c r="G1050" s="18" t="str">
        <f t="shared" ref="G1050:G1081" si="56">IFERROR(VLOOKUP(F1050,$J$16:$K$19,2,TRUE),"SEM PREMIAÇÃO")</f>
        <v>Sem premiação</v>
      </c>
    </row>
    <row r="1051" spans="2:7" ht="20.100000000000001" customHeight="1" x14ac:dyDescent="0.25">
      <c r="B1051" s="14" t="s">
        <v>1112</v>
      </c>
      <c r="C1051" s="15">
        <v>1</v>
      </c>
      <c r="D1051" s="16">
        <v>64.900000000000006</v>
      </c>
      <c r="E1051" s="17">
        <f t="shared" si="54"/>
        <v>64.900000000000006</v>
      </c>
      <c r="F1051" s="18">
        <f t="shared" si="55"/>
        <v>1</v>
      </c>
      <c r="G1051" s="18" t="str">
        <f t="shared" si="56"/>
        <v>Sem premiação</v>
      </c>
    </row>
    <row r="1052" spans="2:7" ht="20.100000000000001" customHeight="1" x14ac:dyDescent="0.25">
      <c r="B1052" s="14" t="s">
        <v>1113</v>
      </c>
      <c r="C1052" s="15">
        <v>1</v>
      </c>
      <c r="D1052" s="16">
        <v>227.72</v>
      </c>
      <c r="E1052" s="17">
        <f t="shared" si="54"/>
        <v>227.72</v>
      </c>
      <c r="F1052" s="18">
        <f t="shared" si="55"/>
        <v>4</v>
      </c>
      <c r="G1052" s="18" t="str">
        <f t="shared" si="56"/>
        <v>Sem premiação</v>
      </c>
    </row>
    <row r="1053" spans="2:7" ht="20.100000000000001" customHeight="1" x14ac:dyDescent="0.25">
      <c r="B1053" s="14" t="s">
        <v>1114</v>
      </c>
      <c r="C1053" s="15">
        <v>1</v>
      </c>
      <c r="D1053" s="16">
        <v>169.06</v>
      </c>
      <c r="E1053" s="17">
        <f t="shared" si="54"/>
        <v>169.06</v>
      </c>
      <c r="F1053" s="18">
        <f t="shared" si="55"/>
        <v>3</v>
      </c>
      <c r="G1053" s="18" t="str">
        <f t="shared" si="56"/>
        <v>Sem premiação</v>
      </c>
    </row>
    <row r="1054" spans="2:7" ht="20.100000000000001" customHeight="1" x14ac:dyDescent="0.25">
      <c r="B1054" s="14" t="s">
        <v>1115</v>
      </c>
      <c r="C1054" s="15">
        <v>1</v>
      </c>
      <c r="D1054" s="16">
        <v>92.61</v>
      </c>
      <c r="E1054" s="17">
        <f t="shared" si="54"/>
        <v>92.61</v>
      </c>
      <c r="F1054" s="18">
        <f t="shared" si="55"/>
        <v>1</v>
      </c>
      <c r="G1054" s="18" t="str">
        <f t="shared" si="56"/>
        <v>Sem premiação</v>
      </c>
    </row>
    <row r="1055" spans="2:7" ht="20.100000000000001" customHeight="1" x14ac:dyDescent="0.25">
      <c r="B1055" s="14" t="s">
        <v>1116</v>
      </c>
      <c r="C1055" s="15">
        <v>1</v>
      </c>
      <c r="D1055" s="16">
        <v>76.900000000000006</v>
      </c>
      <c r="E1055" s="17">
        <f t="shared" si="54"/>
        <v>76.900000000000006</v>
      </c>
      <c r="F1055" s="18">
        <f t="shared" si="55"/>
        <v>1</v>
      </c>
      <c r="G1055" s="18" t="str">
        <f t="shared" si="56"/>
        <v>Sem premiação</v>
      </c>
    </row>
    <row r="1056" spans="2:7" ht="20.100000000000001" customHeight="1" x14ac:dyDescent="0.25">
      <c r="B1056" s="14" t="s">
        <v>1117</v>
      </c>
      <c r="C1056" s="15">
        <v>1</v>
      </c>
      <c r="D1056" s="16">
        <v>76.900000000000006</v>
      </c>
      <c r="E1056" s="17">
        <f t="shared" si="54"/>
        <v>76.900000000000006</v>
      </c>
      <c r="F1056" s="18">
        <f t="shared" si="55"/>
        <v>1</v>
      </c>
      <c r="G1056" s="18" t="str">
        <f t="shared" si="56"/>
        <v>Sem premiação</v>
      </c>
    </row>
    <row r="1057" spans="2:7" ht="20.100000000000001" customHeight="1" x14ac:dyDescent="0.25">
      <c r="B1057" s="14" t="s">
        <v>1118</v>
      </c>
      <c r="C1057" s="15">
        <v>1</v>
      </c>
      <c r="D1057" s="16">
        <v>489.51</v>
      </c>
      <c r="E1057" s="17">
        <f t="shared" si="54"/>
        <v>489.51</v>
      </c>
      <c r="F1057" s="18">
        <f t="shared" si="55"/>
        <v>9</v>
      </c>
      <c r="G1057" s="18" t="str">
        <f t="shared" si="56"/>
        <v>Sem premiação</v>
      </c>
    </row>
    <row r="1058" spans="2:7" ht="20.100000000000001" customHeight="1" x14ac:dyDescent="0.25">
      <c r="B1058" s="14" t="s">
        <v>1119</v>
      </c>
      <c r="C1058" s="15">
        <v>1</v>
      </c>
      <c r="D1058" s="16">
        <v>206.06</v>
      </c>
      <c r="E1058" s="17">
        <f t="shared" si="54"/>
        <v>206.06</v>
      </c>
      <c r="F1058" s="18">
        <f t="shared" si="55"/>
        <v>4</v>
      </c>
      <c r="G1058" s="18" t="str">
        <f t="shared" si="56"/>
        <v>Sem premiação</v>
      </c>
    </row>
    <row r="1059" spans="2:7" ht="20.100000000000001" customHeight="1" x14ac:dyDescent="0.25">
      <c r="B1059" s="14" t="s">
        <v>1120</v>
      </c>
      <c r="C1059" s="15">
        <v>1</v>
      </c>
      <c r="D1059" s="16">
        <v>98.9</v>
      </c>
      <c r="E1059" s="17">
        <f t="shared" si="54"/>
        <v>98.9</v>
      </c>
      <c r="F1059" s="18">
        <f t="shared" si="55"/>
        <v>1</v>
      </c>
      <c r="G1059" s="18" t="str">
        <f t="shared" si="56"/>
        <v>Sem premiação</v>
      </c>
    </row>
    <row r="1060" spans="2:7" ht="20.100000000000001" customHeight="1" x14ac:dyDescent="0.25">
      <c r="B1060" s="14" t="s">
        <v>1121</v>
      </c>
      <c r="C1060" s="15">
        <v>1</v>
      </c>
      <c r="D1060" s="16">
        <v>391.76</v>
      </c>
      <c r="E1060" s="17">
        <f t="shared" si="54"/>
        <v>391.76</v>
      </c>
      <c r="F1060" s="18">
        <f t="shared" si="55"/>
        <v>7</v>
      </c>
      <c r="G1060" s="18" t="str">
        <f t="shared" si="56"/>
        <v>Sem premiação</v>
      </c>
    </row>
    <row r="1061" spans="2:7" ht="20.100000000000001" customHeight="1" x14ac:dyDescent="0.25">
      <c r="B1061" s="14" t="s">
        <v>1122</v>
      </c>
      <c r="C1061" s="15">
        <v>1</v>
      </c>
      <c r="D1061" s="16">
        <v>284.67</v>
      </c>
      <c r="E1061" s="17">
        <f t="shared" si="54"/>
        <v>284.67</v>
      </c>
      <c r="F1061" s="18">
        <f t="shared" si="55"/>
        <v>5</v>
      </c>
      <c r="G1061" s="18" t="str">
        <f t="shared" si="56"/>
        <v>Sem premiação</v>
      </c>
    </row>
    <row r="1062" spans="2:7" ht="20.100000000000001" customHeight="1" x14ac:dyDescent="0.25">
      <c r="B1062" s="14" t="s">
        <v>1123</v>
      </c>
      <c r="C1062" s="15">
        <v>1</v>
      </c>
      <c r="D1062" s="16">
        <v>59.9</v>
      </c>
      <c r="E1062" s="17">
        <f t="shared" si="54"/>
        <v>59.9</v>
      </c>
      <c r="F1062" s="18">
        <f t="shared" si="55"/>
        <v>1</v>
      </c>
      <c r="G1062" s="18" t="str">
        <f t="shared" si="56"/>
        <v>Sem premiação</v>
      </c>
    </row>
    <row r="1063" spans="2:7" ht="20.100000000000001" customHeight="1" x14ac:dyDescent="0.25">
      <c r="B1063" s="14" t="s">
        <v>1124</v>
      </c>
      <c r="C1063" s="15">
        <v>1</v>
      </c>
      <c r="D1063" s="16">
        <v>86.9</v>
      </c>
      <c r="E1063" s="17">
        <f t="shared" si="54"/>
        <v>86.9</v>
      </c>
      <c r="F1063" s="18">
        <f t="shared" si="55"/>
        <v>1</v>
      </c>
      <c r="G1063" s="18" t="str">
        <f t="shared" si="56"/>
        <v>Sem premiação</v>
      </c>
    </row>
    <row r="1064" spans="2:7" ht="20.100000000000001" customHeight="1" x14ac:dyDescent="0.25">
      <c r="B1064" s="14" t="s">
        <v>1125</v>
      </c>
      <c r="C1064" s="15">
        <v>1</v>
      </c>
      <c r="D1064" s="16">
        <v>160.91</v>
      </c>
      <c r="E1064" s="17">
        <f t="shared" si="54"/>
        <v>160.91</v>
      </c>
      <c r="F1064" s="18">
        <f t="shared" si="55"/>
        <v>3</v>
      </c>
      <c r="G1064" s="18" t="str">
        <f t="shared" si="56"/>
        <v>Sem premiação</v>
      </c>
    </row>
    <row r="1065" spans="2:7" ht="20.100000000000001" customHeight="1" x14ac:dyDescent="0.25">
      <c r="B1065" s="14" t="s">
        <v>1126</v>
      </c>
      <c r="C1065" s="15">
        <v>1</v>
      </c>
      <c r="D1065" s="16">
        <v>87.21</v>
      </c>
      <c r="E1065" s="17">
        <f t="shared" si="54"/>
        <v>87.21</v>
      </c>
      <c r="F1065" s="18">
        <f t="shared" si="55"/>
        <v>1</v>
      </c>
      <c r="G1065" s="18" t="str">
        <f t="shared" si="56"/>
        <v>Sem premiação</v>
      </c>
    </row>
    <row r="1066" spans="2:7" ht="20.100000000000001" customHeight="1" x14ac:dyDescent="0.25">
      <c r="B1066" s="14" t="s">
        <v>1127</v>
      </c>
      <c r="C1066" s="15">
        <v>1</v>
      </c>
      <c r="D1066" s="16">
        <v>415.43</v>
      </c>
      <c r="E1066" s="17">
        <f t="shared" si="54"/>
        <v>415.43</v>
      </c>
      <c r="F1066" s="18">
        <f t="shared" si="55"/>
        <v>8</v>
      </c>
      <c r="G1066" s="18" t="str">
        <f t="shared" si="56"/>
        <v>Sem premiação</v>
      </c>
    </row>
    <row r="1067" spans="2:7" ht="20.100000000000001" customHeight="1" x14ac:dyDescent="0.25">
      <c r="B1067" s="14" t="s">
        <v>1128</v>
      </c>
      <c r="C1067" s="15">
        <v>1</v>
      </c>
      <c r="D1067" s="16">
        <v>227.72</v>
      </c>
      <c r="E1067" s="17">
        <f t="shared" si="54"/>
        <v>227.72</v>
      </c>
      <c r="F1067" s="18">
        <f t="shared" si="55"/>
        <v>4</v>
      </c>
      <c r="G1067" s="18" t="str">
        <f t="shared" si="56"/>
        <v>Sem premiação</v>
      </c>
    </row>
    <row r="1068" spans="2:7" ht="20.100000000000001" customHeight="1" x14ac:dyDescent="0.25">
      <c r="B1068" s="14" t="s">
        <v>1129</v>
      </c>
      <c r="C1068" s="15">
        <v>1</v>
      </c>
      <c r="D1068" s="16">
        <v>577.41</v>
      </c>
      <c r="E1068" s="17">
        <f t="shared" si="54"/>
        <v>577.41</v>
      </c>
      <c r="F1068" s="18">
        <f t="shared" si="55"/>
        <v>10</v>
      </c>
      <c r="G1068" s="18" t="str">
        <f t="shared" si="56"/>
        <v>Sem premiação</v>
      </c>
    </row>
    <row r="1069" spans="2:7" ht="20.100000000000001" customHeight="1" x14ac:dyDescent="0.25">
      <c r="B1069" s="14" t="s">
        <v>1130</v>
      </c>
      <c r="C1069" s="15">
        <v>1</v>
      </c>
      <c r="D1069" s="16">
        <v>162.81</v>
      </c>
      <c r="E1069" s="17">
        <f t="shared" si="54"/>
        <v>162.81</v>
      </c>
      <c r="F1069" s="18">
        <f t="shared" si="55"/>
        <v>3</v>
      </c>
      <c r="G1069" s="18" t="str">
        <f t="shared" si="56"/>
        <v>Sem premiação</v>
      </c>
    </row>
    <row r="1070" spans="2:7" ht="20.100000000000001" customHeight="1" x14ac:dyDescent="0.25">
      <c r="B1070" s="14" t="s">
        <v>1131</v>
      </c>
      <c r="C1070" s="15">
        <v>1</v>
      </c>
      <c r="D1070" s="16">
        <v>107.9</v>
      </c>
      <c r="E1070" s="17">
        <f t="shared" si="54"/>
        <v>107.9</v>
      </c>
      <c r="F1070" s="18">
        <f t="shared" si="55"/>
        <v>2</v>
      </c>
      <c r="G1070" s="18" t="str">
        <f t="shared" si="56"/>
        <v>Sem premiação</v>
      </c>
    </row>
    <row r="1071" spans="2:7" ht="20.100000000000001" customHeight="1" x14ac:dyDescent="0.25">
      <c r="B1071" s="14" t="s">
        <v>1132</v>
      </c>
      <c r="C1071" s="15">
        <v>1</v>
      </c>
      <c r="D1071" s="16">
        <v>190.83</v>
      </c>
      <c r="E1071" s="17">
        <f t="shared" si="54"/>
        <v>190.83</v>
      </c>
      <c r="F1071" s="18">
        <f t="shared" si="55"/>
        <v>3</v>
      </c>
      <c r="G1071" s="18" t="str">
        <f t="shared" si="56"/>
        <v>Sem premiação</v>
      </c>
    </row>
    <row r="1072" spans="2:7" ht="20.100000000000001" customHeight="1" x14ac:dyDescent="0.25">
      <c r="B1072" s="14" t="s">
        <v>1133</v>
      </c>
      <c r="C1072" s="15">
        <v>1</v>
      </c>
      <c r="D1072" s="16">
        <v>127.71</v>
      </c>
      <c r="E1072" s="17">
        <f t="shared" si="54"/>
        <v>127.71</v>
      </c>
      <c r="F1072" s="18">
        <f t="shared" si="55"/>
        <v>2</v>
      </c>
      <c r="G1072" s="18" t="str">
        <f t="shared" si="56"/>
        <v>Sem premiação</v>
      </c>
    </row>
    <row r="1073" spans="2:7" ht="20.100000000000001" customHeight="1" x14ac:dyDescent="0.25">
      <c r="B1073" s="14" t="s">
        <v>1134</v>
      </c>
      <c r="C1073" s="15">
        <v>1</v>
      </c>
      <c r="D1073" s="16">
        <v>85.8</v>
      </c>
      <c r="E1073" s="17">
        <f t="shared" si="54"/>
        <v>85.8</v>
      </c>
      <c r="F1073" s="18">
        <f t="shared" si="55"/>
        <v>1</v>
      </c>
      <c r="G1073" s="18" t="str">
        <f t="shared" si="56"/>
        <v>Sem premiação</v>
      </c>
    </row>
    <row r="1074" spans="2:7" ht="20.100000000000001" customHeight="1" x14ac:dyDescent="0.25">
      <c r="B1074" s="14" t="s">
        <v>1135</v>
      </c>
      <c r="C1074" s="15">
        <v>1</v>
      </c>
      <c r="D1074" s="16">
        <v>114.21</v>
      </c>
      <c r="E1074" s="17">
        <f t="shared" si="54"/>
        <v>114.21</v>
      </c>
      <c r="F1074" s="18">
        <f t="shared" si="55"/>
        <v>2</v>
      </c>
      <c r="G1074" s="18" t="str">
        <f t="shared" si="56"/>
        <v>Sem premiação</v>
      </c>
    </row>
    <row r="1075" spans="2:7" ht="20.100000000000001" customHeight="1" x14ac:dyDescent="0.25">
      <c r="B1075" s="14" t="s">
        <v>1136</v>
      </c>
      <c r="C1075" s="15">
        <v>1</v>
      </c>
      <c r="D1075" s="16">
        <v>112.41</v>
      </c>
      <c r="E1075" s="17">
        <f t="shared" si="54"/>
        <v>112.41</v>
      </c>
      <c r="F1075" s="18">
        <f t="shared" si="55"/>
        <v>2</v>
      </c>
      <c r="G1075" s="18" t="str">
        <f t="shared" si="56"/>
        <v>Sem premiação</v>
      </c>
    </row>
    <row r="1076" spans="2:7" ht="20.100000000000001" customHeight="1" x14ac:dyDescent="0.25">
      <c r="B1076" s="14" t="s">
        <v>1137</v>
      </c>
      <c r="C1076" s="15">
        <v>1</v>
      </c>
      <c r="D1076" s="16">
        <v>302.51</v>
      </c>
      <c r="E1076" s="17">
        <f t="shared" si="54"/>
        <v>302.51</v>
      </c>
      <c r="F1076" s="18">
        <f t="shared" si="55"/>
        <v>6</v>
      </c>
      <c r="G1076" s="18" t="str">
        <f t="shared" si="56"/>
        <v>Sem premiação</v>
      </c>
    </row>
    <row r="1077" spans="2:7" ht="20.100000000000001" customHeight="1" x14ac:dyDescent="0.25">
      <c r="B1077" s="14" t="s">
        <v>1138</v>
      </c>
      <c r="C1077" s="15">
        <v>1</v>
      </c>
      <c r="D1077" s="16">
        <v>500</v>
      </c>
      <c r="E1077" s="17">
        <f t="shared" si="54"/>
        <v>500</v>
      </c>
      <c r="F1077" s="18">
        <f t="shared" si="55"/>
        <v>10</v>
      </c>
      <c r="G1077" s="18" t="str">
        <f t="shared" si="56"/>
        <v>Sem premiação</v>
      </c>
    </row>
    <row r="1078" spans="2:7" ht="20.100000000000001" customHeight="1" x14ac:dyDescent="0.25">
      <c r="B1078" s="14" t="s">
        <v>1139</v>
      </c>
      <c r="C1078" s="15">
        <v>1</v>
      </c>
      <c r="D1078" s="16">
        <v>96.9</v>
      </c>
      <c r="E1078" s="17">
        <f t="shared" si="54"/>
        <v>96.9</v>
      </c>
      <c r="F1078" s="18">
        <f t="shared" si="55"/>
        <v>1</v>
      </c>
      <c r="G1078" s="18" t="str">
        <f t="shared" si="56"/>
        <v>Sem premiação</v>
      </c>
    </row>
    <row r="1079" spans="2:7" ht="20.100000000000001" customHeight="1" x14ac:dyDescent="0.25">
      <c r="B1079" s="14" t="s">
        <v>1140</v>
      </c>
      <c r="C1079" s="15">
        <v>1</v>
      </c>
      <c r="D1079" s="16">
        <v>102.51</v>
      </c>
      <c r="E1079" s="17">
        <f t="shared" si="54"/>
        <v>102.51</v>
      </c>
      <c r="F1079" s="18">
        <f t="shared" si="55"/>
        <v>2</v>
      </c>
      <c r="G1079" s="18" t="str">
        <f t="shared" si="56"/>
        <v>Sem premiação</v>
      </c>
    </row>
    <row r="1080" spans="2:7" ht="20.100000000000001" customHeight="1" x14ac:dyDescent="0.25">
      <c r="B1080" s="14" t="s">
        <v>1141</v>
      </c>
      <c r="C1080" s="15">
        <v>1</v>
      </c>
      <c r="D1080" s="16">
        <v>100.71</v>
      </c>
      <c r="E1080" s="17">
        <f t="shared" si="54"/>
        <v>100.71</v>
      </c>
      <c r="F1080" s="18">
        <f t="shared" si="55"/>
        <v>2</v>
      </c>
      <c r="G1080" s="18" t="str">
        <f t="shared" si="56"/>
        <v>Sem premiação</v>
      </c>
    </row>
    <row r="1081" spans="2:7" ht="20.100000000000001" customHeight="1" x14ac:dyDescent="0.25">
      <c r="B1081" s="14" t="s">
        <v>1142</v>
      </c>
      <c r="C1081" s="15">
        <v>1</v>
      </c>
      <c r="D1081" s="16">
        <v>498.68</v>
      </c>
      <c r="E1081" s="17">
        <f t="shared" si="54"/>
        <v>498.68</v>
      </c>
      <c r="F1081" s="18">
        <f t="shared" si="55"/>
        <v>9</v>
      </c>
      <c r="G1081" s="18" t="str">
        <f t="shared" si="56"/>
        <v>Sem premiação</v>
      </c>
    </row>
    <row r="1082" spans="2:7" ht="20.100000000000001" customHeight="1" x14ac:dyDescent="0.25">
      <c r="B1082" s="14" t="s">
        <v>1143</v>
      </c>
      <c r="C1082" s="15">
        <v>1</v>
      </c>
      <c r="D1082" s="16">
        <v>349.26</v>
      </c>
      <c r="E1082" s="17">
        <f t="shared" ref="E1082:E1085" si="57">D1082/C1082</f>
        <v>349.26</v>
      </c>
      <c r="F1082" s="18">
        <f t="shared" ref="F1082:F1085" si="58">IFERROR(C1082*_xlfn.XLOOKUP(E1082,$J$4:$J$13,$K$4:$K$13,0,-1),0)</f>
        <v>6</v>
      </c>
      <c r="G1082" s="18" t="str">
        <f t="shared" ref="G1082:G1085" si="59">IFERROR(VLOOKUP(F1082,$J$16:$K$19,2,TRUE),"SEM PREMIAÇÃO")</f>
        <v>Sem premiação</v>
      </c>
    </row>
    <row r="1083" spans="2:7" ht="20.100000000000001" customHeight="1" x14ac:dyDescent="0.25">
      <c r="B1083" s="14" t="s">
        <v>1144</v>
      </c>
      <c r="C1083" s="15">
        <v>1</v>
      </c>
      <c r="D1083" s="16">
        <v>177.06</v>
      </c>
      <c r="E1083" s="17">
        <f t="shared" si="57"/>
        <v>177.06</v>
      </c>
      <c r="F1083" s="18">
        <f t="shared" si="58"/>
        <v>3</v>
      </c>
      <c r="G1083" s="18" t="str">
        <f t="shared" si="59"/>
        <v>Sem premiação</v>
      </c>
    </row>
    <row r="1084" spans="2:7" ht="20.100000000000001" customHeight="1" x14ac:dyDescent="0.25">
      <c r="B1084" s="14" t="s">
        <v>1145</v>
      </c>
      <c r="C1084" s="15">
        <v>1</v>
      </c>
      <c r="D1084" s="16">
        <v>53.91</v>
      </c>
      <c r="E1084" s="17">
        <f t="shared" si="57"/>
        <v>53.91</v>
      </c>
      <c r="F1084" s="18">
        <f t="shared" si="58"/>
        <v>1</v>
      </c>
      <c r="G1084" s="18" t="str">
        <f t="shared" si="59"/>
        <v>Sem premiação</v>
      </c>
    </row>
    <row r="1085" spans="2:7" ht="20.100000000000001" customHeight="1" x14ac:dyDescent="0.25">
      <c r="B1085" s="14" t="s">
        <v>1146</v>
      </c>
      <c r="C1085" s="15">
        <v>1</v>
      </c>
      <c r="D1085" s="16">
        <v>70.8</v>
      </c>
      <c r="E1085" s="17">
        <f t="shared" si="57"/>
        <v>70.8</v>
      </c>
      <c r="F1085" s="18">
        <f t="shared" si="58"/>
        <v>1</v>
      </c>
      <c r="G1085" s="18" t="str">
        <f t="shared" si="59"/>
        <v>Sem premiação</v>
      </c>
    </row>
  </sheetData>
  <autoFilter ref="B2:G1085" xr:uid="{0A5FDAC3-881B-46BE-97DD-BFF865CF4991}"/>
  <mergeCells count="2">
    <mergeCell ref="J2:K2"/>
    <mergeCell ref="M2:S2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 PARCIAL (GESTORES)</vt:lpstr>
      <vt:lpstr>RESULTADO PARCIAL (CONSULTORES)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Andreza Rodrigues</dc:creator>
  <cp:keywords/>
  <dc:description/>
  <cp:lastModifiedBy>Andreza Rodrigues</cp:lastModifiedBy>
  <cp:revision/>
  <dcterms:created xsi:type="dcterms:W3CDTF">2026-05-28T20:53:33Z</dcterms:created>
  <dcterms:modified xsi:type="dcterms:W3CDTF">2026-07-01T21:26:59Z</dcterms:modified>
  <cp:category/>
  <cp:contentStatus/>
</cp:coreProperties>
</file>