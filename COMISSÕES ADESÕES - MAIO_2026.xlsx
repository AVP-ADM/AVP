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a357ce9b35bd6e4/Documentos/Administrativo/Setores AVP/Comercial/COMISSÕES E CONTROLE/VENDAS/CONTROLE ADESÕES/2026/MAIO/"/>
    </mc:Choice>
  </mc:AlternateContent>
  <xr:revisionPtr revIDLastSave="3744" documentId="8_{18FBF0A9-BB9F-4C20-8B41-6917AA6BCDF7}" xr6:coauthVersionLast="47" xr6:coauthVersionMax="47" xr10:uidLastSave="{56B85EE5-8F34-4628-8766-AD82C257208B}"/>
  <bookViews>
    <workbookView xWindow="-120" yWindow="-16320" windowWidth="29040" windowHeight="16440" activeTab="1" xr2:uid="{00000000-000D-0000-FFFF-FFFF00000000}"/>
  </bookViews>
  <sheets>
    <sheet name="RESUMO" sheetId="14" r:id="rId1"/>
    <sheet name="COMERCIAL" sheetId="2" r:id="rId2"/>
    <sheet name="PETROLINA" sheetId="10" r:id="rId3"/>
    <sheet name="ITABUNA" sheetId="13" r:id="rId4"/>
    <sheet name="JUAZEIRO" sheetId="11" r:id="rId5"/>
    <sheet name="JUAZEIRO DO NORTE" sheetId="16" state="hidden" r:id="rId6"/>
    <sheet name="SENHOR DO BONFIM" sheetId="15" state="hidden" r:id="rId7"/>
    <sheet name="DEZEMBRO" sheetId="3" state="hidden" r:id="rId8"/>
    <sheet name="OUTUBRO" sheetId="6" state="hidden" r:id="rId9"/>
    <sheet name="AGOSTO" sheetId="8" state="hidden" r:id="rId10"/>
    <sheet name="JULHO" sheetId="9" state="hidden" r:id="rId11"/>
  </sheets>
  <definedNames>
    <definedName name="_xlnm._FilterDatabase" localSheetId="1" hidden="1">COMERCIAL!$B$40:$H$62</definedName>
    <definedName name="_xlnm._FilterDatabase" localSheetId="2" hidden="1">PETROLINA!$B$10:$J$11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E12" i="14"/>
  <c r="D12" i="14"/>
  <c r="C16" i="15"/>
  <c r="D16" i="15" s="1"/>
  <c r="C16" i="16"/>
  <c r="D16" i="16" s="1"/>
  <c r="F18" i="14" s="1"/>
  <c r="J8" i="16"/>
  <c r="F8" i="16"/>
  <c r="D18" i="14" s="1"/>
  <c r="E18" i="14" s="1"/>
  <c r="C8" i="16"/>
  <c r="C8" i="13"/>
  <c r="J8" i="15"/>
  <c r="F8" i="15"/>
  <c r="D20" i="14" s="1"/>
  <c r="C8" i="15"/>
  <c r="C16" i="10"/>
  <c r="C66" i="2"/>
  <c r="D66" i="2" s="1"/>
  <c r="F10" i="14" s="1"/>
  <c r="F7" i="2"/>
  <c r="C18" i="13"/>
  <c r="C19" i="11"/>
  <c r="D19" i="11" s="1"/>
  <c r="F16" i="14" s="1"/>
  <c r="E20" i="14" l="1"/>
  <c r="F20" i="14"/>
  <c r="D18" i="13"/>
  <c r="F14" i="14" s="1"/>
  <c r="C65" i="2"/>
  <c r="D9" i="14" s="1"/>
  <c r="E9" i="14" s="1"/>
  <c r="D16" i="10" l="1"/>
  <c r="F12" i="14" s="1"/>
  <c r="C8" i="10"/>
  <c r="D65" i="2"/>
  <c r="F9" i="14" s="1"/>
  <c r="J8" i="13"/>
  <c r="F8" i="13"/>
  <c r="D14" i="14" s="1"/>
  <c r="E14" i="14" s="1"/>
  <c r="C8" i="11"/>
  <c r="J8" i="11"/>
  <c r="F8" i="11"/>
  <c r="J8" i="10"/>
  <c r="F8" i="10"/>
  <c r="D16" i="14" l="1"/>
  <c r="F24" i="14" s="1"/>
  <c r="J7" i="2"/>
  <c r="E16" i="14" l="1"/>
  <c r="F22" i="14" s="1"/>
  <c r="F26" i="14" l="1"/>
  <c r="D40" i="9"/>
  <c r="D39" i="9"/>
  <c r="D35" i="8"/>
  <c r="D34" i="8"/>
  <c r="D33" i="8"/>
  <c r="F43" i="6"/>
  <c r="F42" i="6"/>
  <c r="F41" i="6"/>
  <c r="F40" i="3"/>
  <c r="F39" i="3"/>
  <c r="F38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<sst xmlns="http://schemas.openxmlformats.org/spreadsheetml/2006/main" count="1171" uniqueCount="636">
  <si>
    <t>Associado</t>
  </si>
  <si>
    <t>Data de cadastro</t>
  </si>
  <si>
    <t>Placa</t>
  </si>
  <si>
    <t>Origem do Lead / Vistoria</t>
  </si>
  <si>
    <t>Adesão</t>
  </si>
  <si>
    <t>Mensalidade</t>
  </si>
  <si>
    <t>Forma de pagamento</t>
  </si>
  <si>
    <t>Link Comprovantes</t>
  </si>
  <si>
    <t xml:space="preserve"> </t>
  </si>
  <si>
    <t>TOTAL ADESÃO</t>
  </si>
  <si>
    <t>TOTAL MENSALIDADE</t>
  </si>
  <si>
    <t>NUMERO DE PLACAS</t>
  </si>
  <si>
    <t>PIX</t>
  </si>
  <si>
    <t>Whatsapp / Sede Petrolina</t>
  </si>
  <si>
    <t>LAZARO DANTAS RIBEIRO.jpeg</t>
  </si>
  <si>
    <t>Sede Petrolina</t>
  </si>
  <si>
    <t>ZERO KM</t>
  </si>
  <si>
    <t>Whatsapp / Externa</t>
  </si>
  <si>
    <t>Whatsapp / Online</t>
  </si>
  <si>
    <t>CREDITO</t>
  </si>
  <si>
    <t>CICERO FERREIRA DE LIMA</t>
  </si>
  <si>
    <t>CICERO FERREIRA DE LIMA.pdf</t>
  </si>
  <si>
    <t>Whatsapp / Sede Juazeiro</t>
  </si>
  <si>
    <t>SETOR COMERCIAL - DEZEMBRO</t>
  </si>
  <si>
    <t>FABIO NUNES DOS SANTOS</t>
  </si>
  <si>
    <t>01/12/23</t>
  </si>
  <si>
    <t>DEO2I91</t>
  </si>
  <si>
    <t>Whatsapp / Virtual</t>
  </si>
  <si>
    <t>Débito</t>
  </si>
  <si>
    <t>FABIO NUNES DOS SANTOS.jpeg</t>
  </si>
  <si>
    <t>DANIELA DE MOLGADO SOARES ARAUJO</t>
  </si>
  <si>
    <t>04/12/23</t>
  </si>
  <si>
    <t>RPQ2E07</t>
  </si>
  <si>
    <t>Whatsapp / Sede De Juazeiro</t>
  </si>
  <si>
    <t>Pix</t>
  </si>
  <si>
    <t>DANIELA DE MORGADO SOARES ARAUJO.jpg</t>
  </si>
  <si>
    <t>DIOGO JOSE SOUZA DE MACEDO</t>
  </si>
  <si>
    <t>OEM7I79</t>
  </si>
  <si>
    <t>Whatsapp / Sede De Petrolina</t>
  </si>
  <si>
    <t>DIOGO JOSE SOUZA DE MACEDO.jpg</t>
  </si>
  <si>
    <t>RUAN PAULINO NUNES DA SILVA</t>
  </si>
  <si>
    <t>05/12/23</t>
  </si>
  <si>
    <t>OYL0B96</t>
  </si>
  <si>
    <t xml:space="preserve">Sede Petrolina </t>
  </si>
  <si>
    <t>Credito</t>
  </si>
  <si>
    <t>RUAN PAULINO NUNES DA SILVA.jpg</t>
  </si>
  <si>
    <t>QYC9281</t>
  </si>
  <si>
    <t>Whatsapp / Vistorias externa</t>
  </si>
  <si>
    <t xml:space="preserve">R$ 328,36
</t>
  </si>
  <si>
    <t xml:space="preserve">SAMILLE DA SILVA SOBREIRA
</t>
  </si>
  <si>
    <t>SJL3C92</t>
  </si>
  <si>
    <t>Whatsapp / Vistorias consultor</t>
  </si>
  <si>
    <t>SAMILLE DA SILVA SOBREIRA.jpg</t>
  </si>
  <si>
    <t>FRANCICLEIDE COELHO DE SOUZA</t>
  </si>
  <si>
    <t>08/12/23</t>
  </si>
  <si>
    <t>RDA9A64</t>
  </si>
  <si>
    <t>Especie</t>
  </si>
  <si>
    <t>FRANCICLEIDE COELHO DE SOUZA.jpeg</t>
  </si>
  <si>
    <t>JOSE DIONISIO AGUIAR</t>
  </si>
  <si>
    <t>09/12/23</t>
  </si>
  <si>
    <t>PNJ2C32</t>
  </si>
  <si>
    <t>JOSE DIONISIO AGUIAR.jpeg</t>
  </si>
  <si>
    <t xml:space="preserve">ANA CLARA GUIMARAES CARVALHO
</t>
  </si>
  <si>
    <t>NZU8D93</t>
  </si>
  <si>
    <t>ANA CLARA GUIMARAES CARVALHO.pdf</t>
  </si>
  <si>
    <t>GUSTAVO BATISTA DOS SANTOS NETO</t>
  </si>
  <si>
    <t>12/12/23</t>
  </si>
  <si>
    <t>SJL4B15</t>
  </si>
  <si>
    <t>Gustavo Batista Dos Santos Neto.pdf</t>
  </si>
  <si>
    <t>RCQ9D56</t>
  </si>
  <si>
    <t>RUAN PAULINO NUNES DA SILVA.jpeg</t>
  </si>
  <si>
    <t>14/12/23</t>
  </si>
  <si>
    <t>OYS6F98</t>
  </si>
  <si>
    <t>RUAN PAULINO NUNES DA SILVA2.jpeg</t>
  </si>
  <si>
    <t>FRANCISCO MARCELO MARTINS DE SA</t>
  </si>
  <si>
    <t>15/12/23</t>
  </si>
  <si>
    <t>PKG5B78</t>
  </si>
  <si>
    <t>FRANCISCO MARCELO MARTINS DE SA.jpg</t>
  </si>
  <si>
    <t xml:space="preserve">CASSIANO JURACY PEREIRA DA SILVA
</t>
  </si>
  <si>
    <t>OYX5344</t>
  </si>
  <si>
    <t>CASSIANO JURACY PEREIRA DA SILVA.jpegk</t>
  </si>
  <si>
    <t>PCE4F78</t>
  </si>
  <si>
    <t xml:space="preserve">LUARA ALENCAR DA SILVA
</t>
  </si>
  <si>
    <t>SNT3B21</t>
  </si>
  <si>
    <t>LUARA ALENCAR DA SILVA.pdf</t>
  </si>
  <si>
    <t>KAMYLLA SUELLY DE ALMEIDA PIRES</t>
  </si>
  <si>
    <t>PGN5378</t>
  </si>
  <si>
    <t>KAMYLLA SUELLY DE ALMEIDA PIRES.jpeg</t>
  </si>
  <si>
    <t>CINDY RAYANE SENA MONTEIRO</t>
  </si>
  <si>
    <t>SNK4E83</t>
  </si>
  <si>
    <t>CINDY RAYANE SENA MONTEIRO.jpeg</t>
  </si>
  <si>
    <t xml:space="preserve">JACKSON SAULO DE MELO LOPES
</t>
  </si>
  <si>
    <t>16/12/23</t>
  </si>
  <si>
    <t>PEB2F99</t>
  </si>
  <si>
    <t>JACKSON SAULO DE MELO LOPES.jpeg</t>
  </si>
  <si>
    <t xml:space="preserve">PAULA DAIANE COSTA DOS ANJOS
</t>
  </si>
  <si>
    <t>SJP2E47</t>
  </si>
  <si>
    <t>PAULA DAIANE COSTA DOS ANJOS.jpegk</t>
  </si>
  <si>
    <t>SOUZA SEGURANCA ELETRONICA</t>
  </si>
  <si>
    <t>QYP6J47</t>
  </si>
  <si>
    <t>SOUZA SEGURANCA ELETRONICA.jpeg</t>
  </si>
  <si>
    <t>18/12/23</t>
  </si>
  <si>
    <t>OYZ8D57</t>
  </si>
  <si>
    <t>ITALO RODRIGO SILVA BONFIM</t>
  </si>
  <si>
    <t>GHQ4G79</t>
  </si>
  <si>
    <t>ITALO RODRIGO SILVA BONFIM.jpeg</t>
  </si>
  <si>
    <t>JOSE NILTON CONCEICAO DE OLIVEIRA</t>
  </si>
  <si>
    <t>19/12/23</t>
  </si>
  <si>
    <t>RDN9G61</t>
  </si>
  <si>
    <t>JOSE NILTON CONCEICAO DE OLIVEIRA.jpeg</t>
  </si>
  <si>
    <t>OYW0F99</t>
  </si>
  <si>
    <t>RUAN PAULINO NUNES DA SILVA3.jpeg</t>
  </si>
  <si>
    <t>RAFAEL NEVES ALMEIDA ARAUJO FILHO</t>
  </si>
  <si>
    <t>22/12/23</t>
  </si>
  <si>
    <t>PEI9H66</t>
  </si>
  <si>
    <t>RAFAEL NEVES ALMEIDA ARAUJO FILHO.jpeg</t>
  </si>
  <si>
    <t>CAIO MARINO SANTANA BRITO DE BARBOSA</t>
  </si>
  <si>
    <t>NZZ8E44</t>
  </si>
  <si>
    <t>CAIO MARINO SANTANA BRITO DE BARBOSA.jpg</t>
  </si>
  <si>
    <t>LUIZ AUGUSTO EVANGELISTA DE SOUZA JUNIOR</t>
  </si>
  <si>
    <t>26/12/23</t>
  </si>
  <si>
    <t>PCM2B31</t>
  </si>
  <si>
    <t xml:space="preserve">Whatsapp / Virtual </t>
  </si>
  <si>
    <t>LUIZ AUGUSTO EVANGELISTA DE SOUZA JUNIOR.jpeg</t>
  </si>
  <si>
    <t>PAULO HENRIQUE BARRETO RODRIGUES</t>
  </si>
  <si>
    <t>27/12/23</t>
  </si>
  <si>
    <t>PKG1B95</t>
  </si>
  <si>
    <t xml:space="preserve">Débito </t>
  </si>
  <si>
    <t>PAULO HENRIQUE BARRETO RODRIGUES.jpg</t>
  </si>
  <si>
    <t xml:space="preserve">LUCIANO FERREIRA ARAUJO
</t>
  </si>
  <si>
    <t>POE8I15</t>
  </si>
  <si>
    <t>LUCIANO FERREIRA ARAUJO.pdf</t>
  </si>
  <si>
    <t>PAULO BRUNO FERREIRA DE JESUS</t>
  </si>
  <si>
    <t>28/12/23</t>
  </si>
  <si>
    <t>PJP5I17</t>
  </si>
  <si>
    <t xml:space="preserve">Whatsapp / Sede Petrolina </t>
  </si>
  <si>
    <t>PAULO BRUNO FERREIRA DE JESUS.jpg</t>
  </si>
  <si>
    <t>MARTINHA SILVA SANTOS ALVES</t>
  </si>
  <si>
    <t>29/12/23</t>
  </si>
  <si>
    <t>NYW9B88</t>
  </si>
  <si>
    <t>MARTINHA SILVA SANTOS ALVES.pdf</t>
  </si>
  <si>
    <t>JARLENE DE LIMA DA SILVA</t>
  </si>
  <si>
    <t>SNL4I02</t>
  </si>
  <si>
    <t>JARLENE DE LIMA DA SILVA.jpg</t>
  </si>
  <si>
    <t>Nome do associado</t>
  </si>
  <si>
    <t>Situação</t>
  </si>
  <si>
    <t>VALOR</t>
  </si>
  <si>
    <t>Atendente</t>
  </si>
  <si>
    <t xml:space="preserve">MARIA ROSICLEIDE NUNES DE CARVALHO
</t>
  </si>
  <si>
    <t>PAGO</t>
  </si>
  <si>
    <t xml:space="preserve">JUSU LOCADORA DE VEICULOS LTDA
</t>
  </si>
  <si>
    <t>Tipo de pagamento</t>
  </si>
  <si>
    <t>BOLETO</t>
  </si>
  <si>
    <t xml:space="preserve">SETOR COMERCIAL - OUTUBRO </t>
  </si>
  <si>
    <t>PZE5G67</t>
  </si>
  <si>
    <t>LAIS SOUZA RIBEIRO ARAUJO</t>
  </si>
  <si>
    <t>PKB4766</t>
  </si>
  <si>
    <t>Whatsapp / Sede Itabuna</t>
  </si>
  <si>
    <t>LAIS SOUZA RIBEIRO ARAUJO.pdf</t>
  </si>
  <si>
    <t xml:space="preserve">JEFFERSON TEIXEIRA DE JESUS
</t>
  </si>
  <si>
    <t>OZJ3D88</t>
  </si>
  <si>
    <t>JEFFERSON TEIXEIRA DE JESUS.jpeg</t>
  </si>
  <si>
    <t>JOAO VITOR DE OLIVERA BRITO</t>
  </si>
  <si>
    <t>RPY5H97</t>
  </si>
  <si>
    <t>PIX + ESPÉCIE</t>
  </si>
  <si>
    <t>JOAO VITOR DE OLIVERA BRITO.jpeg</t>
  </si>
  <si>
    <t>ESTELA CASTRO DA SILVA</t>
  </si>
  <si>
    <t>07/10/23</t>
  </si>
  <si>
    <t>RCO2D56</t>
  </si>
  <si>
    <t>ESTELA CASTRO DA SILVA.jpeg</t>
  </si>
  <si>
    <t>LUCAS ALISSON DE CRUZ</t>
  </si>
  <si>
    <t>PKG4A34</t>
  </si>
  <si>
    <t>LUCAS ALISSON DE CRUZ.jpeg</t>
  </si>
  <si>
    <t xml:space="preserve">LUCIANO DE SOUZA ARAUJO
</t>
  </si>
  <si>
    <t>09/10/23</t>
  </si>
  <si>
    <t>DEBITO</t>
  </si>
  <si>
    <t>LUCIANO DE SOUZA ARAUJO.jpeg</t>
  </si>
  <si>
    <t>ANCELMO DOS SANTOS LAPSOS</t>
  </si>
  <si>
    <t>PKN9B65</t>
  </si>
  <si>
    <t>ANCELMO DOS SANTOS LAPSOS.jpeg</t>
  </si>
  <si>
    <t xml:space="preserve">LILIANE FERREIRA PRIMO
</t>
  </si>
  <si>
    <t>PGH2326</t>
  </si>
  <si>
    <t>ESPÉCIE</t>
  </si>
  <si>
    <t>LILIANE FERREIRA PRIMO.jpeg</t>
  </si>
  <si>
    <t xml:space="preserve">ROGERIO JOSE DE SOUZA
</t>
  </si>
  <si>
    <t>13/10/23</t>
  </si>
  <si>
    <t>SJJ1D54</t>
  </si>
  <si>
    <t>ROGERIO JOSE DE SOUZA.jpeg</t>
  </si>
  <si>
    <t xml:space="preserve">IRAN PEREIRA
</t>
  </si>
  <si>
    <t>OYW9J44</t>
  </si>
  <si>
    <t>IRAN PEREIRA.pdf</t>
  </si>
  <si>
    <t xml:space="preserve">MATEUS LIMA DAMASIO
</t>
  </si>
  <si>
    <t>PJS7I69</t>
  </si>
  <si>
    <t>MATEUS LIMA DAMASIO.jpeg</t>
  </si>
  <si>
    <t>17/10/23</t>
  </si>
  <si>
    <t>OYQ2H74</t>
  </si>
  <si>
    <t>RUBENS LOPES DE MIRANDA</t>
  </si>
  <si>
    <t>20/10/23</t>
  </si>
  <si>
    <t>RNL7C94</t>
  </si>
  <si>
    <t>RUBENS LOPES DE MIRANDA.jpeg</t>
  </si>
  <si>
    <t xml:space="preserve">LAZARO DANTAS RIBEIRO
</t>
  </si>
  <si>
    <t>24/10/23</t>
  </si>
  <si>
    <t>PDW4987</t>
  </si>
  <si>
    <t>JOSE ADEILSON PEREIRA DOS SANTOS</t>
  </si>
  <si>
    <t>OYL1852</t>
  </si>
  <si>
    <t>Whatsapp/ Online</t>
  </si>
  <si>
    <t>JOSE ADEILSON PEREIRA DOS SANTOS.pdf</t>
  </si>
  <si>
    <t>NILO DE OLIVEIRA DANTAS NETO</t>
  </si>
  <si>
    <t>PDK0133</t>
  </si>
  <si>
    <t>Sede Petrolina / Online</t>
  </si>
  <si>
    <t>NILO DE OLIVEIRA DANTAS NETO.jpeg</t>
  </si>
  <si>
    <t>EVALDO NARCISO TOMAZ FILHO</t>
  </si>
  <si>
    <t>PGO2251</t>
  </si>
  <si>
    <t>EVALDO NARCISO TOMAZ FILHO.jpeg</t>
  </si>
  <si>
    <t>NUTIVA COMERCIO LTDA</t>
  </si>
  <si>
    <t>QYZ0B20</t>
  </si>
  <si>
    <t>NUTIVA COMERCIO E REPRESENTACOES LTDA.png</t>
  </si>
  <si>
    <t>RZJ7G91</t>
  </si>
  <si>
    <t>NUTIVA COMERCIO E REPRESENTACOES LTDA 2.png</t>
  </si>
  <si>
    <t>JAMES ALVES DE OLIVEIRA</t>
  </si>
  <si>
    <t>25/10/23</t>
  </si>
  <si>
    <t>JAMES ALVES DE OLIVEIRA.jpeg</t>
  </si>
  <si>
    <t>DAMIAO FERREIRA DA SILVA</t>
  </si>
  <si>
    <t>SAS8J59</t>
  </si>
  <si>
    <t>DAMIAO FERREIRA DA SILVA.jpeg</t>
  </si>
  <si>
    <t>DANIVAL ANTUNES FERREIRA</t>
  </si>
  <si>
    <t>EYG9E80</t>
  </si>
  <si>
    <t>DANIVAL ANTUNES FERREIRA.jpeg</t>
  </si>
  <si>
    <t xml:space="preserve">RUAN PAULINO NUNES DA SILVA
</t>
  </si>
  <si>
    <t>26/10/23</t>
  </si>
  <si>
    <t>PDG2687</t>
  </si>
  <si>
    <t>RUAN PAULINO NUNES DA SILVA 2.jpeg</t>
  </si>
  <si>
    <t>NATALY VIVIANE MAIA GAMA DA CUNA</t>
  </si>
  <si>
    <t>27/10/23</t>
  </si>
  <si>
    <t>RFZ8C80</t>
  </si>
  <si>
    <t>Whatsapp / Senhor do Bonfim</t>
  </si>
  <si>
    <t>NATALY VIVIANE MAIA GAMA DA CUNA.pdf</t>
  </si>
  <si>
    <t>NAILTON JOSE SOUZA</t>
  </si>
  <si>
    <t>RPJ9F71</t>
  </si>
  <si>
    <t>NAILTON JOSE SOUZA.pdf</t>
  </si>
  <si>
    <t>ALLAN BRUNO DA SILVA MEDRADO</t>
  </si>
  <si>
    <t>28/10/23</t>
  </si>
  <si>
    <t>OUT5H04</t>
  </si>
  <si>
    <t>ALLAN BRUNO DA SILVA MEDRADO.pdf</t>
  </si>
  <si>
    <t>RONAN ALVES BARBOSA</t>
  </si>
  <si>
    <t>PKO3925</t>
  </si>
  <si>
    <t>RONAN ALVES BARBOSA.jpegk</t>
  </si>
  <si>
    <t>TIAGO PEREIRA DE SALE</t>
  </si>
  <si>
    <t>NTO0B26</t>
  </si>
  <si>
    <t>TIAGO PEREIRA DE SALE.jpeg</t>
  </si>
  <si>
    <t>GILVANO AMERICO DE OLIVEIRA</t>
  </si>
  <si>
    <t>30/10/23</t>
  </si>
  <si>
    <t>ORG2J92</t>
  </si>
  <si>
    <t>GILVANO AMERICO DE OLIVEIRA.pdf</t>
  </si>
  <si>
    <t>HILDEBERTO DE SOUZA RODRIGUES</t>
  </si>
  <si>
    <t>QYE3587</t>
  </si>
  <si>
    <t>HILDEBERTO DE SOUZA RODRIGUES.jpeg</t>
  </si>
  <si>
    <t>KEILANE SILVA PEREIRA</t>
  </si>
  <si>
    <t>PCX2688</t>
  </si>
  <si>
    <t>KEILANE SILVA PEREIRA.jpeg</t>
  </si>
  <si>
    <t>CLERITON DOS REIS ALMEIDA</t>
  </si>
  <si>
    <t>31/10/23</t>
  </si>
  <si>
    <t>QYS9B86</t>
  </si>
  <si>
    <t>CLERITON DOS REIS ALMEIDA.jpeg</t>
  </si>
  <si>
    <t xml:space="preserve">ALLYSSON DE JESUS BATISTA
</t>
  </si>
  <si>
    <t>QLH4H48</t>
  </si>
  <si>
    <t>ALLYSSON DE JESUS BATISTA.pdf</t>
  </si>
  <si>
    <t>MARIA ROSICLEIDE NUNES DE CARVALHO</t>
  </si>
  <si>
    <t>LOUVERCY RODRIGUES LIMA.jpeg</t>
  </si>
  <si>
    <t xml:space="preserve">HORACIO HUDSON GOMES DA SILVA
</t>
  </si>
  <si>
    <t>Dinheiro</t>
  </si>
  <si>
    <t xml:space="preserve"> ADESÃO SETOR COMERCIAL - AGOSTO 2023 </t>
  </si>
  <si>
    <t>Veículo</t>
  </si>
  <si>
    <t>Origem do Lead</t>
  </si>
  <si>
    <t>ALCIDES JUNNYOR FERREIRA DE SOUZA</t>
  </si>
  <si>
    <t xml:space="preserve">XTZ 150 CROSSER Z </t>
  </si>
  <si>
    <t>Whatsapp / Sede de Petrolina</t>
  </si>
  <si>
    <t>Caroline Beatriz</t>
  </si>
  <si>
    <t>Erildo Matos Pereira.jpeg</t>
  </si>
  <si>
    <t>GILSON DA SILVA JUNIOR</t>
  </si>
  <si>
    <t xml:space="preserve">HILUX CD SRX 4X4 </t>
  </si>
  <si>
    <t>Whatsapp / Sede de Bonfim</t>
  </si>
  <si>
    <t>GILSON DA SILVA JUNIOR.jpeg</t>
  </si>
  <si>
    <t xml:space="preserve">ERILDO MATOS PEREIRA
</t>
  </si>
  <si>
    <t>VolksWagen, Saveiro CROSS 1.6</t>
  </si>
  <si>
    <t>ALCIDES JUNNYOR FERREIRA DE SOUZA.jpeg</t>
  </si>
  <si>
    <t xml:space="preserve">LOUVERCY RODRIGUES LIMA
</t>
  </si>
  <si>
    <t>Chevrolet, TRAILBLAZER LTZ 2.8</t>
  </si>
  <si>
    <t>Whatsapp / vistoria a distancia</t>
  </si>
  <si>
    <t>Eric Alencar</t>
  </si>
  <si>
    <t>VALQUIRIA CAMPOS RODRIGUES</t>
  </si>
  <si>
    <t>VolksWagen, JETTA Highline 2.0</t>
  </si>
  <si>
    <t>Site / Sede Petrolina</t>
  </si>
  <si>
    <t>Cartão</t>
  </si>
  <si>
    <t>VALQUIRIA CAMPOS RODRIGUES.jpeg</t>
  </si>
  <si>
    <t>GILMAR DE SOUZA LIMA</t>
  </si>
  <si>
    <t>HR-V LX 1.8 2015</t>
  </si>
  <si>
    <t>GILMAR DE SOUZA LIMA.png</t>
  </si>
  <si>
    <t>EDIVALDO ALVES DOS SANTOS</t>
  </si>
  <si>
    <t>SIENA FIRE FLEX 2007</t>
  </si>
  <si>
    <t>EDIVALDO ALVES DOS SANTOS.png</t>
  </si>
  <si>
    <t>JOSE WILSON MACIEL ALVES</t>
  </si>
  <si>
    <t>COROLLA XEI AUT 2015</t>
  </si>
  <si>
    <t>JOSE WILSON MACIEL ALVES.png</t>
  </si>
  <si>
    <t>L200 TRITON GLS 2.4 CD DIESEL</t>
  </si>
  <si>
    <t>JUSU LOCADORA DE VEICULOS LTDA.png</t>
  </si>
  <si>
    <t>LARYSSA EMANUELLA SOUZA DIAS DE MORAES</t>
  </si>
  <si>
    <t xml:space="preserve">SHINERAY, 50-Q RAY Zero KM
</t>
  </si>
  <si>
    <t>Laryssa Emanuela Souza dias de Moraes.jpeg</t>
  </si>
  <si>
    <t>Fiat, MOBI LIKE 1.0 2022</t>
  </si>
  <si>
    <t>RUAN PAULINO NUNES DA SILVA.pdf</t>
  </si>
  <si>
    <t xml:space="preserve">FRANCISCO MAYCON BORGES DE OLIVEIRA
</t>
  </si>
  <si>
    <t xml:space="preserve">HONDA, NXR 160 BROS </t>
  </si>
  <si>
    <t>FRANCISCO MAYCON BORGES DE OLIVEIRA.jpeg</t>
  </si>
  <si>
    <t xml:space="preserve">JOABE GONCALVES FERREIRA SANTOS
</t>
  </si>
  <si>
    <t>Hilux SW4 SRV D4-D 4x4 2012</t>
  </si>
  <si>
    <t>JOABE GONCALVES FERREIRA SANTOS.jpeg</t>
  </si>
  <si>
    <t xml:space="preserve">JOSE NEI ALMEIDA SANTOS
</t>
  </si>
  <si>
    <t>Fiat, ARGO DRIVE 1.0 2020</t>
  </si>
  <si>
    <t>JOSE NEI ALMEIDA SANTOS.jpeg</t>
  </si>
  <si>
    <t>Cesar Brito Gonzaga</t>
  </si>
  <si>
    <t>HONDA, CG 160 START Zero KM</t>
  </si>
  <si>
    <t>Cesar Brito Gonzaga.jpeg</t>
  </si>
  <si>
    <t>Willames Mateus De Andrade Costa</t>
  </si>
  <si>
    <t>VolksWagen, Gol (Novo) 1.0 Mi</t>
  </si>
  <si>
    <t>Willames Mateus De Andrade Costa.pdf</t>
  </si>
  <si>
    <t xml:space="preserve">JOÃO VITOR FERREIRA DOS SANTOS
</t>
  </si>
  <si>
    <t>YAMAHA, FZ15 150 ZERO KM</t>
  </si>
  <si>
    <t>JOAO VITOR FERREIRA DOS SANTOS.jpeg</t>
  </si>
  <si>
    <t xml:space="preserve"> Fiat Palio 1.0 ECONOMY 2012</t>
  </si>
  <si>
    <t>DIRETORIA - POLLIANA</t>
  </si>
  <si>
    <t xml:space="preserve">EULINA GRASIELLE DA SILVA CÉZAR
</t>
  </si>
  <si>
    <t>HONDA NXR 160 BROS ZERO</t>
  </si>
  <si>
    <t>Whatsapp / vistoria em Juazeiro</t>
  </si>
  <si>
    <t>EULINA GRASIELLE DA SILVA CÉZAR.jpeg</t>
  </si>
  <si>
    <t>ADEVALDO PAIXAO DA SILVA</t>
  </si>
  <si>
    <t xml:space="preserve">HONDA CG 160 TITAN </t>
  </si>
  <si>
    <t>Debito</t>
  </si>
  <si>
    <t>ADEVALDO PAIXAO DA SILVA.jpeg</t>
  </si>
  <si>
    <t xml:space="preserve">Paulo Luciano Pimentel Nunes
</t>
  </si>
  <si>
    <t>Honda CITY Sedan EX 2011</t>
  </si>
  <si>
    <t>Paulo Luciano Pimentel Nunes.jpeg</t>
  </si>
  <si>
    <t>HELENO GOMES DE LIRA</t>
  </si>
  <si>
    <t>HONDA NXR 150 BROS</t>
  </si>
  <si>
    <t>HONDA CG 150 START</t>
  </si>
  <si>
    <t>CICERO ANDERSON BARROS DA SILVA</t>
  </si>
  <si>
    <t>HONDA CG 160 FAN 2023</t>
  </si>
  <si>
    <t>CICERO ANDERSON BARROS DA SILVA.jpeg</t>
  </si>
  <si>
    <t xml:space="preserve">HERNANY GOMES COSTA
</t>
  </si>
  <si>
    <t>Ford Ka 1.0 SEL 2019</t>
  </si>
  <si>
    <t>Whatsapp</t>
  </si>
  <si>
    <t>HERNANY GOMES COSTA.pdf</t>
  </si>
  <si>
    <t xml:space="preserve">MARIVANE REIS BRITTO
</t>
  </si>
  <si>
    <t>Chevrolet S10 Pick-Up 2004</t>
  </si>
  <si>
    <t>Whatsapp / Vistoria externa</t>
  </si>
  <si>
    <t>MARIVANE REIS BRITTO.jpeg</t>
  </si>
  <si>
    <t xml:space="preserve">NOABE NOGUEIRA DOS SANTOS
</t>
  </si>
  <si>
    <t>Chevrolet SPIN LTZ 2019</t>
  </si>
  <si>
    <t>NOABE NOGUEIRA DOS SANTOS.pdf</t>
  </si>
  <si>
    <t xml:space="preserve">ADESÃO SETOR COMERCIAL - JULHO 2023 </t>
  </si>
  <si>
    <t>Neirivaldo Lacio da Silva Souza</t>
  </si>
  <si>
    <t>Ybr 125 Factor</t>
  </si>
  <si>
    <t>Sede de Petrolina</t>
  </si>
  <si>
    <t>Insentado</t>
  </si>
  <si>
    <t xml:space="preserve">Caroline Beatriz </t>
  </si>
  <si>
    <t>Osvaldo Rodrigues</t>
  </si>
  <si>
    <t xml:space="preserve">Cg 150 Fan </t>
  </si>
  <si>
    <t>Franciele Lima da Silva</t>
  </si>
  <si>
    <t>NXR BROS 160</t>
  </si>
  <si>
    <t>WhatsApp / Vistoria Sede de juazeiro</t>
  </si>
  <si>
    <t>Dinheiro/ Sede de juazeiro</t>
  </si>
  <si>
    <t>DUSTER Zen 1.6 2021</t>
  </si>
  <si>
    <r>
      <rPr>
        <sz val="10"/>
        <rFont val="Arial"/>
        <family val="2"/>
      </rPr>
      <t xml:space="preserve">Frontier </t>
    </r>
    <r>
      <rPr>
        <u/>
        <sz val="10"/>
        <color rgb="FF1155CC"/>
        <rFont val="Arial"/>
        <family val="2"/>
      </rPr>
      <t>ATTAC.CD</t>
    </r>
    <r>
      <rPr>
        <sz val="10"/>
        <rFont val="Arial"/>
        <family val="2"/>
      </rPr>
      <t xml:space="preserve"> 2021</t>
    </r>
  </si>
  <si>
    <t>Ronildo França da Silva</t>
  </si>
  <si>
    <t>CG 150 FAN</t>
  </si>
  <si>
    <t>WhatsApp / Vistoria a distancia</t>
  </si>
  <si>
    <t>Joao Marcos Gomes de Lima</t>
  </si>
  <si>
    <t xml:space="preserve">HONDA 160 CG </t>
  </si>
  <si>
    <t>LAELIA OLIVEIRA MOURA</t>
  </si>
  <si>
    <t xml:space="preserve"> Fox Comfortline 1.6</t>
  </si>
  <si>
    <t>Whatsapp / Vistoria a distancia</t>
  </si>
  <si>
    <t>OTAVIO BRENO ESCOBAR DOS SANTOS</t>
  </si>
  <si>
    <t>Cg 160 Fintan</t>
  </si>
  <si>
    <t>FLAVIA EDUARDA DA SILVA BARROS</t>
  </si>
  <si>
    <t>MERCEDES-BENZ, Axor 2536 S/LS 6x2</t>
  </si>
  <si>
    <t>JOAO CARLOS DA CONCEICAO SILVA</t>
  </si>
  <si>
    <t>Toyota, Corolla XEi 2.0</t>
  </si>
  <si>
    <t>HENRIQUE CAVALCANTE DE AMORIM</t>
  </si>
  <si>
    <t>Fiat, Doblo Cargo 1.8 2009</t>
  </si>
  <si>
    <t xml:space="preserve">Whatsapp/ Vistoria a distancia </t>
  </si>
  <si>
    <t>Damião Leite Silva</t>
  </si>
  <si>
    <t>HONDA, CG 160 START 2023</t>
  </si>
  <si>
    <t>Ruan Paulino Nunes da Silva</t>
  </si>
  <si>
    <t>HONDA, CG 125 FAN ES 2014</t>
  </si>
  <si>
    <t>Crédito</t>
  </si>
  <si>
    <t>Raimundo Borges Viana Neto</t>
  </si>
  <si>
    <t>Toyota, Hilux SRV 4x4</t>
  </si>
  <si>
    <t>Sede de Petrolina / indicação</t>
  </si>
  <si>
    <t xml:space="preserve">EDMILSON LIMA DOS SANTOS
</t>
  </si>
  <si>
    <t>HONDA, CG 160 START 2022</t>
  </si>
  <si>
    <t>CLEBER DA SILVA MACEDO</t>
  </si>
  <si>
    <t>HONDA POP 100 cc</t>
  </si>
  <si>
    <t>Instagram/ Vistoria a distancia</t>
  </si>
  <si>
    <t>ADALBERTO BRUNO NOGUEIRA RODRIGUES</t>
  </si>
  <si>
    <t>CG 160 FAN Flex 2019</t>
  </si>
  <si>
    <t>Instagram / Vistoria a distancia</t>
  </si>
  <si>
    <t>CG 160 FAN Flex 2022</t>
  </si>
  <si>
    <t>VolksWagen, Gol 1.0 2022</t>
  </si>
  <si>
    <t>THYAGO FERREIRA DE LIMA</t>
  </si>
  <si>
    <t>FIAT, STRADA ADVENTURA 1.8</t>
  </si>
  <si>
    <t>Diretoria / Sede de Petrolina</t>
  </si>
  <si>
    <t>TIAGO TORQUATO VIRGINIO OLIVEIRA</t>
  </si>
  <si>
    <t>Fiat, UNO ATTRACTIVE 1.0</t>
  </si>
  <si>
    <t>Sede de Petrolina/Instagram</t>
  </si>
  <si>
    <t xml:space="preserve">Diogo Borges Soares Barra
</t>
  </si>
  <si>
    <t>VW - VolksWagen, Gol Trendline 1.0</t>
  </si>
  <si>
    <t>Site / Vistoria Senhor do Bonfim</t>
  </si>
  <si>
    <t>Chevrolet, ONIX HATCH LT 2023</t>
  </si>
  <si>
    <t xml:space="preserve">Misael Maciel Junior
</t>
  </si>
  <si>
    <t>HONDA, NXR 150 BROS 2014</t>
  </si>
  <si>
    <t>Instagram / Sede Petrolina</t>
  </si>
  <si>
    <t xml:space="preserve">Elesbao Coelho De Amorim
</t>
  </si>
  <si>
    <t>FORD, F-350 2p (Diesel) 2016</t>
  </si>
  <si>
    <t>Sede de Petrolina / Vistoria externa</t>
  </si>
  <si>
    <t>S10 LS 2.8 4x4 CD Dies. 2014</t>
  </si>
  <si>
    <t>Isento</t>
  </si>
  <si>
    <t>HONDA, POP 110i 2017</t>
  </si>
  <si>
    <t xml:space="preserve">ANDERSON PEREIRA RAMOS
</t>
  </si>
  <si>
    <t>VW Golf Sportline 1.6 2010</t>
  </si>
  <si>
    <t xml:space="preserve">REGINALDO FERREIRA DE SOUZA
</t>
  </si>
  <si>
    <t>YAMAHA, FZ25 250 FAZER</t>
  </si>
  <si>
    <t>HONDA, CG 125 FAN 2017+ rastr 100</t>
  </si>
  <si>
    <t xml:space="preserve">ADRIANA DO E NETO
</t>
  </si>
  <si>
    <t>Citroën, C3 Excl. 1.6</t>
  </si>
  <si>
    <t xml:space="preserve">Lucas Salomao Nunes Ferreira
</t>
  </si>
  <si>
    <t>HONDA, NXR 160 BROS</t>
  </si>
  <si>
    <t>GEIDSON MAICLEI RIBEIRO LOPES</t>
  </si>
  <si>
    <t>Onix HATCH LT 1.0</t>
  </si>
  <si>
    <t>34</t>
  </si>
  <si>
    <t>PETROLINA</t>
  </si>
  <si>
    <t>JUAZEIRO</t>
  </si>
  <si>
    <t>ITABUNA</t>
  </si>
  <si>
    <t>Data Efetuado</t>
  </si>
  <si>
    <t xml:space="preserve">Data pagamento </t>
  </si>
  <si>
    <t xml:space="preserve">TOTAL VALOR ADESÃO </t>
  </si>
  <si>
    <t>TOTAL VALOR COMISSÃO</t>
  </si>
  <si>
    <t>TOTAL VALOR LIQUIDO AVP</t>
  </si>
  <si>
    <t>SETOR: COMERCIAL INTERNO</t>
  </si>
  <si>
    <t>NÚMERO DE PLACAS</t>
  </si>
  <si>
    <t>VALOR TOTAL GERADO</t>
  </si>
  <si>
    <t>SETOR / SEDE</t>
  </si>
  <si>
    <t>VALOR TOTAL COMISSÃO</t>
  </si>
  <si>
    <t>VALOR INDIVIDUAL COMISSÃO</t>
  </si>
  <si>
    <t>TROCA DE TITULARIDADE</t>
  </si>
  <si>
    <t>NÚMERO DE PLACAS:</t>
  </si>
  <si>
    <t>VALOR TOTAL ADESÕES</t>
  </si>
  <si>
    <t>VALOR TOTAL MENSALIDADES</t>
  </si>
  <si>
    <t>SETOR: RECEPÇÃO PETROLINA</t>
  </si>
  <si>
    <t xml:space="preserve">COLABORADORA </t>
  </si>
  <si>
    <t>VALOR TOTAL</t>
  </si>
  <si>
    <t>COMISSÃO 20%</t>
  </si>
  <si>
    <t>Data Ativação</t>
  </si>
  <si>
    <t>Origem Lead</t>
  </si>
  <si>
    <t>CONF. (Financeiro)</t>
  </si>
  <si>
    <t>COMERCIAL</t>
  </si>
  <si>
    <t>COLABORADOR (A)</t>
  </si>
  <si>
    <t>Colaboradora</t>
  </si>
  <si>
    <t>Link Comprovante</t>
  </si>
  <si>
    <t>Iris</t>
  </si>
  <si>
    <t>CAMILA</t>
  </si>
  <si>
    <t>IRIS CARVALHO</t>
  </si>
  <si>
    <t>ARIELLE BORGES</t>
  </si>
  <si>
    <t>ÍRIS CAROLINE SANTOS CARVALHO</t>
  </si>
  <si>
    <t>CAMILA DO NASCIMENTO SENA</t>
  </si>
  <si>
    <t>WhatsApp/Aplicativo</t>
  </si>
  <si>
    <t>SETOR: RECEPÇÃO JUAZEIRO - BA</t>
  </si>
  <si>
    <t>SETOR: RECEPÇÃO ITABUNA</t>
  </si>
  <si>
    <t>ANNA ALICE</t>
  </si>
  <si>
    <t>COLABORADORA RESPONSAVEL: ANNA ALICE</t>
  </si>
  <si>
    <t>ANNA ALICE SILVA CARDOSO</t>
  </si>
  <si>
    <t>LUIZA</t>
  </si>
  <si>
    <t>MARIA LUIZA</t>
  </si>
  <si>
    <t>-</t>
  </si>
  <si>
    <t>COLABORADORES RESPONSAVEIS: IRIS CAROLINE E MARIA LUIZA</t>
  </si>
  <si>
    <t>Arielle</t>
  </si>
  <si>
    <t>JUAZEIRO - BAHIA</t>
  </si>
  <si>
    <t>*</t>
  </si>
  <si>
    <t>COLABORADORA RESPONSAVEL: YASMIN ALCANTARA</t>
  </si>
  <si>
    <t>COLABORADORA RESPONSAVEL: CAMILA</t>
  </si>
  <si>
    <t>COLABORADORA RESPONSAVEL: FERNANDA FIGUEIREDO</t>
  </si>
  <si>
    <t>FERNANDA</t>
  </si>
  <si>
    <t>MARIA LUIZA ALMEIDA DE OLIVEIRA</t>
  </si>
  <si>
    <t>ARIELLE BORGES DIAS</t>
  </si>
  <si>
    <t>JUAZEIRO DO NORTE</t>
  </si>
  <si>
    <t>SENHOR DO BONFIM</t>
  </si>
  <si>
    <t>YASMIN ALCANTARA ALVES</t>
  </si>
  <si>
    <t>MARIA FERNANDA FIGUEIREDO DOS SANTOS</t>
  </si>
  <si>
    <t>CONTROLE DE ADESÕES 05/26</t>
  </si>
  <si>
    <t>HAMANDA AMORIM MACHADO</t>
  </si>
  <si>
    <t>PDZ9J90</t>
  </si>
  <si>
    <t>HAMANDA AMORIM MACHADO.jpeg</t>
  </si>
  <si>
    <t>TAYNARA VIANA GOMES</t>
  </si>
  <si>
    <t>PCZ5323</t>
  </si>
  <si>
    <t>TAYNARA VIANA GOMES.pdf</t>
  </si>
  <si>
    <t>LAERCIO FERNANDO DA SILVA SANTOS</t>
  </si>
  <si>
    <t>KKB3H82</t>
  </si>
  <si>
    <t>LAERCIO FERNANDO DA SILVA SANTOS.pdf</t>
  </si>
  <si>
    <t>RENATO FELIPE DOS SANTOS</t>
  </si>
  <si>
    <t>PCM5H09</t>
  </si>
  <si>
    <t>RENATO FELIPE DOS SANTOS.pdf</t>
  </si>
  <si>
    <t>PEDRO GUILHERME SERAFIM CARVALHO</t>
  </si>
  <si>
    <t>LTU8H15</t>
  </si>
  <si>
    <t>PEDRO GUILHERME SERAFIM CARVALHO.jpeg</t>
  </si>
  <si>
    <t>LAURA EMILY ALVES ANDRADE</t>
  </si>
  <si>
    <t>PCO8E35</t>
  </si>
  <si>
    <t>LAURA EMILY ALVES ANDRADE.jpeg</t>
  </si>
  <si>
    <t>GABRIEL RODRIGUES DE CARVALHO</t>
  </si>
  <si>
    <t>UHU8I69</t>
  </si>
  <si>
    <t>GABRIEL RODRIGUES DE CARVALHO.pdf</t>
  </si>
  <si>
    <t>MANOEL DA SILVA</t>
  </si>
  <si>
    <t>SKE7J77</t>
  </si>
  <si>
    <t>MANOEL DA SILVA.jpeg</t>
  </si>
  <si>
    <t>A. M. DISTRIBUIDORA DE BATERIAS LTDA</t>
  </si>
  <si>
    <t>OHF1G66</t>
  </si>
  <si>
    <t>OTA4F63</t>
  </si>
  <si>
    <t>RGU4F63</t>
  </si>
  <si>
    <t>A. M. DISTRIBUIDORA DE BATERIAS LTDA.pdf</t>
  </si>
  <si>
    <t>LEILA CARVALHO DE SOUSA</t>
  </si>
  <si>
    <t>TIC7404</t>
  </si>
  <si>
    <t>LEILA CARVALHO DE SOUSA.jpeg</t>
  </si>
  <si>
    <t>ALLAN TAVARES OLIVEIRA</t>
  </si>
  <si>
    <t>OTF7H54</t>
  </si>
  <si>
    <t>ALLAN TAVARES OLIVEIRA.jpeg</t>
  </si>
  <si>
    <t>BRUNA LIMA GONÇALVES</t>
  </si>
  <si>
    <t>OSO9C03</t>
  </si>
  <si>
    <t>BRUNA LIMA GONÇALVES.jpeg</t>
  </si>
  <si>
    <t>EVERTON FELISBERTO SOUZA DA SILVA</t>
  </si>
  <si>
    <t>PJW0J70</t>
  </si>
  <si>
    <t>EVERTON FELISBERTO SOUZA DA SILVA.jpeg</t>
  </si>
  <si>
    <t>LUCAS SILVA RODRIGUES</t>
  </si>
  <si>
    <t>OYX2061</t>
  </si>
  <si>
    <t>LUCAS SILVA RODRIGUES.jpeg</t>
  </si>
  <si>
    <t>CARLA EMILIE CAVALCANTE BRITO</t>
  </si>
  <si>
    <t>KJS1G21</t>
  </si>
  <si>
    <t>CARLA EMILIE CAVALCANTE BRITO.jpeg</t>
  </si>
  <si>
    <t>MOISES RICARDO DE LIMA SANTOS</t>
  </si>
  <si>
    <t>MOISES RICARDO DE LIMA SANTOS .pdf</t>
  </si>
  <si>
    <t>INARA MORGANA DINIZ BEZERRA</t>
  </si>
  <si>
    <t>OSI6736</t>
  </si>
  <si>
    <t>INARA MORGANA DINIZ BEZERRA.pdf</t>
  </si>
  <si>
    <t>LAZARO GUSTAVO DE LUCCAS</t>
  </si>
  <si>
    <t>DZH9E25</t>
  </si>
  <si>
    <t>LAZARO GUSTAVO DE LUCCAS.pdf</t>
  </si>
  <si>
    <t>GABRIEL MENEZES COSTA</t>
  </si>
  <si>
    <t>PDK5786</t>
  </si>
  <si>
    <t>GABRIEL MENEZES COSTA.pdf</t>
  </si>
  <si>
    <t>IAN BRUNO FREIRES DE SÁ</t>
  </si>
  <si>
    <t>OYX6C74</t>
  </si>
  <si>
    <t>IAN BRUNO FREIRES DE SÁ.pdf</t>
  </si>
  <si>
    <t>JAIRO DIAS RIBEIRO</t>
  </si>
  <si>
    <t>QLC7G16</t>
  </si>
  <si>
    <t>JAIRO DIAS RIBEIRO.pdf</t>
  </si>
  <si>
    <t>BATISTA PEREIRA DE BARROS</t>
  </si>
  <si>
    <t>BATISTA PEREIRA DE BARROS.jpeg</t>
  </si>
  <si>
    <t>TMR1C69</t>
  </si>
  <si>
    <t>FRP1C97</t>
  </si>
  <si>
    <t>TGY3C69</t>
  </si>
  <si>
    <t xml:space="preserve">RCU0D55
</t>
  </si>
  <si>
    <t>PLV0G18</t>
  </si>
  <si>
    <t>NPV2G58</t>
  </si>
  <si>
    <t>ORZ9108</t>
  </si>
  <si>
    <t>PLU3B03</t>
  </si>
  <si>
    <t>TIJ3B11</t>
  </si>
  <si>
    <t>PLW4I69</t>
  </si>
  <si>
    <t>REP5C23</t>
  </si>
  <si>
    <t>PDL1I32</t>
  </si>
  <si>
    <t>QRL8F39</t>
  </si>
  <si>
    <t>RCY0J04</t>
  </si>
  <si>
    <t xml:space="preserve">OIP4874
</t>
  </si>
  <si>
    <t>PCZ8E56</t>
  </si>
  <si>
    <t>SJL6A87</t>
  </si>
  <si>
    <t>PEF0004</t>
  </si>
  <si>
    <t>RZT7C08</t>
  </si>
  <si>
    <t>RZV5C89</t>
  </si>
  <si>
    <t>SKH7D61</t>
  </si>
  <si>
    <t>Tainara Ketlly Dionisio Araujo</t>
  </si>
  <si>
    <t>Lourival Lopes De Almeida</t>
  </si>
  <si>
    <t>Ingrid Micaele De Andrade Nogueira</t>
  </si>
  <si>
    <t>Abraao Pinto Dos Santos</t>
  </si>
  <si>
    <t>Edileide Barbosa Rodrigues Lima</t>
  </si>
  <si>
    <t>Henrique Jose Medeiros</t>
  </si>
  <si>
    <t>Henrile Viana Dias</t>
  </si>
  <si>
    <t>Andrea Alves Amaral</t>
  </si>
  <si>
    <t>Joaquina Vieira De Sousa</t>
  </si>
  <si>
    <t>Andreia Da Silva Almeida</t>
  </si>
  <si>
    <t>João Victor Dos Reis Silva</t>
  </si>
  <si>
    <t>Gustavo Lima Do Nascimento</t>
  </si>
  <si>
    <t>Isaque Costa Gomes Santos</t>
  </si>
  <si>
    <t>Andrea Karla Rodrigues Chaves</t>
  </si>
  <si>
    <t>Elder Bernardo De Araujo</t>
  </si>
  <si>
    <t>Raimundo Jose Da Silva Coelho</t>
  </si>
  <si>
    <t>Anderson Da Silva</t>
  </si>
  <si>
    <t>Thaís Santos Da Conceição</t>
  </si>
  <si>
    <t>Ezequiel Pereira Silva</t>
  </si>
  <si>
    <t>Cristiany De Lima Ramalho</t>
  </si>
  <si>
    <t>Kelly Soares Fonseca</t>
  </si>
  <si>
    <t>ARIMAR ADELMAR DA SILVA SA</t>
  </si>
  <si>
    <t>PDB9D64</t>
  </si>
  <si>
    <t>PRESECIAL</t>
  </si>
  <si>
    <t>ARIMAR ADELMAR DA SILVA SA.pdf</t>
  </si>
  <si>
    <t>CONTROLE DE ADESÕES: PETROLINA 05/26</t>
  </si>
  <si>
    <t>COLABORADORAS RESPONSAVEIS: ARIELLE BORGES</t>
  </si>
  <si>
    <t>LUCIMARA SALES SOUSA</t>
  </si>
  <si>
    <t>TMM8B06</t>
  </si>
  <si>
    <t>SEDE/ITABUNA</t>
  </si>
  <si>
    <t>EDVALDO ALVES DOS SANTOS JUNIOR</t>
  </si>
  <si>
    <t>TGU3A99</t>
  </si>
  <si>
    <t>SIDNEI DOS SANTOS PEREIRA</t>
  </si>
  <si>
    <t>SJS4B77</t>
  </si>
  <si>
    <t>CONTROLE DE ADESÕES: ITABUNA 05/26</t>
  </si>
  <si>
    <t>ELIANDO SILVA DE SOUZA</t>
  </si>
  <si>
    <t>FFD6C98</t>
  </si>
  <si>
    <t>https://drive.google.com/file/d/1kxUIlTwk7Fx2_pzl9VQYKeVnRnBWZ6Na/view?usp=drive_link</t>
  </si>
  <si>
    <t>AURICELIA BARROS DA SILVA</t>
  </si>
  <si>
    <t>TMW4D15</t>
  </si>
  <si>
    <t>https://drive.google.com/file/d/11qEmbn4JoeGJqmYCxfmHpi3cT31Y_fCX/view?usp=drive_link</t>
  </si>
  <si>
    <t>ROBERTO ALMEIDA DOS SANTOS</t>
  </si>
  <si>
    <t>RFK0A52</t>
  </si>
  <si>
    <t>https://drive.google.com/file/d/1dfcr6R4Oxy7ocNjCOynKfydU-_rRF_Gi/view?usp=drive_link</t>
  </si>
  <si>
    <t>JOSÉ CARLOS BARBOSA DA SILVA</t>
  </si>
  <si>
    <t>TMY7F17</t>
  </si>
  <si>
    <t>https://drive.google.com/file/d/1QizhJOnI72Eo-_fjwFgOfcPdI7prx5Fz/view?usp=drive_link</t>
  </si>
  <si>
    <t>CONTROLE DE ADESÕES: JUAZEIRO BA 05/26</t>
  </si>
  <si>
    <t>CONTROLE DE ADESÕES: JUAZEIRO CE 05/26</t>
  </si>
  <si>
    <t>CONTROLE DE ADESÕES: SR DO BONFIM 05/26</t>
  </si>
  <si>
    <t>TOTAL DE COMISSÕES ADESÃO 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</si>
</sst>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R$ -416]#,##0.00"/>
    <numFmt numFmtId="165" formatCode="dd/mm/yy"/>
    <numFmt numFmtId="166" formatCode="_([$R$ -416]* #,##0.00_);_([$R$ -416]* \(#,##0.00\);_([$R$ -416]* &quot;-&quot;??_);_(@_)"/>
    <numFmt numFmtId="167" formatCode="dd/mm"/>
    <numFmt numFmtId="168" formatCode="&quot;R$&quot;\ #,##0.00"/>
    <numFmt numFmtId="169" formatCode="dd&quot;/&quot;mm"/>
  </numFmts>
  <fonts count="6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rgb="FF333333"/>
      <name val="Sf_ui_displayregular"/>
    </font>
    <font>
      <sz val="11"/>
      <color rgb="FF333333"/>
      <name val="Sf_ui_displayregular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sz val="8"/>
      <color theme="1"/>
      <name val="Arial"/>
      <family val="2"/>
    </font>
    <font>
      <u/>
      <sz val="10"/>
      <color rgb="FF0000FF"/>
      <name val="Arial"/>
      <family val="2"/>
    </font>
    <font>
      <b/>
      <sz val="9"/>
      <color rgb="FF333333"/>
      <name val="Arial"/>
      <family val="2"/>
    </font>
    <font>
      <b/>
      <sz val="10"/>
      <color rgb="FF333333"/>
      <name val="Sf_ui_displayregular"/>
    </font>
    <font>
      <u/>
      <sz val="10"/>
      <color rgb="FF1155CC"/>
      <name val="Arial"/>
      <family val="2"/>
    </font>
    <font>
      <b/>
      <i/>
      <sz val="11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8"/>
      <name val="Arial"/>
      <family val="2"/>
      <scheme val="minor"/>
    </font>
    <font>
      <b/>
      <sz val="16"/>
      <color rgb="FF000000"/>
      <name val="Arial"/>
      <family val="2"/>
    </font>
    <font>
      <b/>
      <sz val="17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</font>
    <font>
      <b/>
      <sz val="12"/>
      <color theme="1"/>
      <name val="Inter"/>
    </font>
    <font>
      <sz val="10"/>
      <color theme="1"/>
      <name val="Inter"/>
    </font>
    <font>
      <b/>
      <sz val="11"/>
      <color theme="1"/>
      <name val="Inter"/>
    </font>
    <font>
      <b/>
      <sz val="10"/>
      <color theme="1"/>
      <name val="Inter"/>
    </font>
    <font>
      <sz val="10"/>
      <color rgb="FF212529"/>
      <name val="Inter"/>
    </font>
    <font>
      <u/>
      <sz val="10"/>
      <color theme="1"/>
      <name val="Inter"/>
    </font>
    <font>
      <sz val="10"/>
      <color rgb="FF000000"/>
      <name val="Inter"/>
    </font>
    <font>
      <sz val="10"/>
      <color rgb="FF1F2937"/>
      <name val="Inter"/>
    </font>
    <font>
      <b/>
      <sz val="16"/>
      <color theme="1"/>
      <name val="Inter"/>
    </font>
    <font>
      <b/>
      <sz val="17"/>
      <color theme="1"/>
      <name val="Inter"/>
    </font>
    <font>
      <sz val="10"/>
      <name val="Inter"/>
    </font>
    <font>
      <b/>
      <sz val="10"/>
      <color rgb="FF000000"/>
      <name val="Inter"/>
    </font>
    <font>
      <b/>
      <sz val="11"/>
      <color rgb="FF000000"/>
      <name val="Inter"/>
    </font>
    <font>
      <i/>
      <sz val="11"/>
      <name val="Century Gothic"/>
      <family val="2"/>
    </font>
    <font>
      <sz val="10"/>
      <color theme="3"/>
      <name val="Inter"/>
    </font>
    <font>
      <sz val="10"/>
      <color rgb="FF434343"/>
      <name val="Inter"/>
    </font>
    <font>
      <b/>
      <sz val="11"/>
      <color theme="3"/>
      <name val="Inter"/>
    </font>
    <font>
      <b/>
      <sz val="10"/>
      <color theme="3"/>
      <name val="Inter"/>
    </font>
    <font>
      <sz val="10"/>
      <color rgb="FF1A1D1E"/>
      <name val="Inter"/>
    </font>
    <font>
      <sz val="10"/>
      <color rgb="FF26292B"/>
      <name val="Inter"/>
    </font>
    <font>
      <u/>
      <sz val="10"/>
      <color rgb="FF0000FF"/>
      <name val="Inter"/>
    </font>
    <font>
      <b/>
      <sz val="16"/>
      <color rgb="FF000000"/>
      <name val="InTER"/>
    </font>
    <font>
      <b/>
      <sz val="17"/>
      <color rgb="FF000000"/>
      <name val="InTER"/>
    </font>
    <font>
      <b/>
      <sz val="12"/>
      <color rgb="FF000000"/>
      <name val="InTER"/>
    </font>
    <font>
      <u/>
      <sz val="10"/>
      <name val="Inte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rgb="FF212529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1155CC"/>
        <bgColor rgb="FF1155CC"/>
      </patternFill>
    </fill>
    <fill>
      <patternFill patternType="solid">
        <fgColor rgb="FF000000"/>
        <bgColor rgb="FF0000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4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46BDC6"/>
        <bgColor rgb="FF000000"/>
      </patternFill>
    </fill>
    <fill>
      <patternFill patternType="solid">
        <fgColor theme="0"/>
        <bgColor rgb="FF00FF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D9D9D9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8" fillId="0" borderId="0" applyNumberFormat="0" applyFill="0" applyBorder="0" applyAlignment="0" applyProtection="0"/>
  </cellStyleXfs>
  <cellXfs count="303">
    <xf numFmtId="0" fontId="0" fillId="0" borderId="0" xfId="0"/>
    <xf numFmtId="0" fontId="3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4" fillId="7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1" fillId="5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164" fontId="5" fillId="0" borderId="0" xfId="0" applyNumberFormat="1" applyFont="1" applyAlignment="1">
      <alignment horizontal="center"/>
    </xf>
    <xf numFmtId="164" fontId="4" fillId="7" borderId="5" xfId="0" applyNumberFormat="1" applyFont="1" applyFill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4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64" fontId="4" fillId="4" borderId="5" xfId="0" applyNumberFormat="1" applyFont="1" applyFill="1" applyBorder="1" applyAlignment="1">
      <alignment horizontal="left"/>
    </xf>
    <xf numFmtId="164" fontId="17" fillId="0" borderId="5" xfId="0" applyNumberFormat="1" applyFont="1" applyBorder="1" applyAlignment="1">
      <alignment horizontal="left"/>
    </xf>
    <xf numFmtId="164" fontId="5" fillId="0" borderId="5" xfId="0" applyNumberFormat="1" applyFont="1" applyBorder="1" applyAlignment="1">
      <alignment horizontal="left"/>
    </xf>
    <xf numFmtId="0" fontId="8" fillId="5" borderId="4" xfId="0" applyFont="1" applyFill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8" borderId="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1" fillId="5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0" fontId="22" fillId="5" borderId="6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26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44" fontId="2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44" fontId="32" fillId="0" borderId="0" xfId="0" applyNumberFormat="1" applyFont="1" applyAlignment="1">
      <alignment vertical="center"/>
    </xf>
    <xf numFmtId="44" fontId="30" fillId="14" borderId="11" xfId="0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5" fillId="0" borderId="6" xfId="0" applyFont="1" applyBorder="1" applyAlignment="1">
      <alignment horizontal="center" vertical="center"/>
    </xf>
    <xf numFmtId="0" fontId="35" fillId="10" borderId="6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66" fontId="35" fillId="2" borderId="6" xfId="0" applyNumberFormat="1" applyFont="1" applyFill="1" applyBorder="1" applyAlignment="1">
      <alignment horizontal="center" vertical="center"/>
    </xf>
    <xf numFmtId="166" fontId="35" fillId="11" borderId="6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44" fontId="32" fillId="16" borderId="11" xfId="0" applyNumberFormat="1" applyFont="1" applyFill="1" applyBorder="1" applyAlignment="1">
      <alignment vertical="center"/>
    </xf>
    <xf numFmtId="0" fontId="30" fillId="17" borderId="11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19" borderId="0" xfId="0" applyFont="1" applyFill="1" applyAlignment="1">
      <alignment horizontal="center" vertical="center" wrapText="1"/>
    </xf>
    <xf numFmtId="0" fontId="37" fillId="20" borderId="0" xfId="0" applyFont="1" applyFill="1" applyAlignment="1">
      <alignment horizontal="center" vertical="center" wrapText="1"/>
    </xf>
    <xf numFmtId="14" fontId="39" fillId="19" borderId="0" xfId="0" applyNumberFormat="1" applyFont="1" applyFill="1" applyAlignment="1">
      <alignment horizontal="center" vertical="center" wrapText="1"/>
    </xf>
    <xf numFmtId="16" fontId="39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8" fontId="39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14" fontId="34" fillId="0" borderId="0" xfId="0" applyNumberFormat="1" applyFont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4" fillId="15" borderId="11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44" fontId="39" fillId="0" borderId="0" xfId="0" applyNumberFormat="1" applyFont="1" applyAlignment="1">
      <alignment vertical="center"/>
    </xf>
    <xf numFmtId="44" fontId="45" fillId="0" borderId="0" xfId="0" applyNumberFormat="1" applyFont="1" applyAlignment="1">
      <alignment vertical="center"/>
    </xf>
    <xf numFmtId="0" fontId="24" fillId="9" borderId="11" xfId="0" applyFont="1" applyFill="1" applyBorder="1" applyAlignment="1">
      <alignment horizontal="center" vertical="center" wrapText="1"/>
    </xf>
    <xf numFmtId="44" fontId="44" fillId="22" borderId="11" xfId="0" applyNumberFormat="1" applyFont="1" applyFill="1" applyBorder="1" applyAlignment="1">
      <alignment vertical="center"/>
    </xf>
    <xf numFmtId="44" fontId="44" fillId="20" borderId="11" xfId="0" applyNumberFormat="1" applyFont="1" applyFill="1" applyBorder="1" applyAlignment="1">
      <alignment vertical="center"/>
    </xf>
    <xf numFmtId="0" fontId="39" fillId="22" borderId="11" xfId="0" applyFont="1" applyFill="1" applyBorder="1" applyAlignment="1">
      <alignment horizontal="center" vertical="center"/>
    </xf>
    <xf numFmtId="44" fontId="39" fillId="22" borderId="11" xfId="0" applyNumberFormat="1" applyFont="1" applyFill="1" applyBorder="1" applyAlignment="1">
      <alignment vertical="center"/>
    </xf>
    <xf numFmtId="44" fontId="39" fillId="20" borderId="11" xfId="0" applyNumberFormat="1" applyFont="1" applyFill="1" applyBorder="1" applyAlignment="1">
      <alignment vertical="center"/>
    </xf>
    <xf numFmtId="0" fontId="24" fillId="0" borderId="11" xfId="0" applyFont="1" applyBorder="1" applyAlignment="1">
      <alignment horizontal="center" vertical="center" wrapText="1"/>
    </xf>
    <xf numFmtId="44" fontId="24" fillId="0" borderId="11" xfId="0" applyNumberFormat="1" applyFont="1" applyBorder="1" applyAlignment="1">
      <alignment horizontal="center" vertical="center" wrapText="1"/>
    </xf>
    <xf numFmtId="0" fontId="36" fillId="4" borderId="10" xfId="0" applyFont="1" applyFill="1" applyBorder="1" applyAlignment="1">
      <alignment horizontal="center" vertical="center"/>
    </xf>
    <xf numFmtId="164" fontId="36" fillId="4" borderId="10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14" fontId="36" fillId="4" borderId="10" xfId="0" applyNumberFormat="1" applyFont="1" applyFill="1" applyBorder="1" applyAlignment="1">
      <alignment horizontal="center" vertical="center"/>
    </xf>
    <xf numFmtId="168" fontId="25" fillId="0" borderId="11" xfId="0" applyNumberFormat="1" applyFont="1" applyBorder="1" applyAlignment="1">
      <alignment horizontal="center" vertical="center" wrapText="1"/>
    </xf>
    <xf numFmtId="168" fontId="46" fillId="23" borderId="11" xfId="0" applyNumberFormat="1" applyFont="1" applyFill="1" applyBorder="1" applyAlignment="1">
      <alignment horizontal="center" vertical="center" wrapText="1"/>
    </xf>
    <xf numFmtId="168" fontId="26" fillId="23" borderId="0" xfId="0" applyNumberFormat="1" applyFont="1" applyFill="1" applyAlignment="1">
      <alignment horizontal="center" vertical="center" wrapText="1"/>
    </xf>
    <xf numFmtId="168" fontId="46" fillId="23" borderId="0" xfId="0" applyNumberFormat="1" applyFont="1" applyFill="1" applyAlignment="1">
      <alignment horizontal="center" vertical="center" wrapText="1"/>
    </xf>
    <xf numFmtId="168" fontId="26" fillId="23" borderId="11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left" vertical="center"/>
    </xf>
    <xf numFmtId="0" fontId="36" fillId="4" borderId="11" xfId="0" applyFont="1" applyFill="1" applyBorder="1" applyAlignment="1">
      <alignment horizontal="center" vertical="center"/>
    </xf>
    <xf numFmtId="0" fontId="37" fillId="21" borderId="11" xfId="0" applyFont="1" applyFill="1" applyBorder="1" applyAlignment="1">
      <alignment vertical="center"/>
    </xf>
    <xf numFmtId="14" fontId="34" fillId="20" borderId="11" xfId="0" applyNumberFormat="1" applyFont="1" applyFill="1" applyBorder="1" applyAlignment="1">
      <alignment horizontal="center" vertical="center"/>
    </xf>
    <xf numFmtId="0" fontId="34" fillId="18" borderId="11" xfId="0" applyFont="1" applyFill="1" applyBorder="1" applyAlignment="1">
      <alignment horizontal="center" vertical="center"/>
    </xf>
    <xf numFmtId="0" fontId="34" fillId="20" borderId="11" xfId="0" applyFont="1" applyFill="1" applyBorder="1" applyAlignment="1">
      <alignment horizontal="center" vertical="center"/>
    </xf>
    <xf numFmtId="166" fontId="34" fillId="20" borderId="11" xfId="0" applyNumberFormat="1" applyFont="1" applyFill="1" applyBorder="1" applyAlignment="1">
      <alignment horizontal="center" vertical="center"/>
    </xf>
    <xf numFmtId="0" fontId="47" fillId="20" borderId="11" xfId="0" applyFont="1" applyFill="1" applyBorder="1" applyAlignment="1">
      <alignment horizontal="left" vertical="center"/>
    </xf>
    <xf numFmtId="0" fontId="48" fillId="19" borderId="11" xfId="0" applyFont="1" applyFill="1" applyBorder="1" applyAlignment="1">
      <alignment horizontal="center" vertical="center" wrapText="1"/>
    </xf>
    <xf numFmtId="168" fontId="46" fillId="0" borderId="11" xfId="0" applyNumberFormat="1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/>
    </xf>
    <xf numFmtId="0" fontId="36" fillId="12" borderId="6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66" fontId="36" fillId="2" borderId="6" xfId="0" applyNumberFormat="1" applyFont="1" applyFill="1" applyBorder="1" applyAlignment="1">
      <alignment horizontal="center" vertical="center"/>
    </xf>
    <xf numFmtId="166" fontId="36" fillId="13" borderId="6" xfId="0" applyNumberFormat="1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44" fontId="44" fillId="22" borderId="11" xfId="0" applyNumberFormat="1" applyFont="1" applyFill="1" applyBorder="1" applyAlignment="1">
      <alignment horizontal="center" vertical="center"/>
    </xf>
    <xf numFmtId="44" fontId="44" fillId="20" borderId="11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17" borderId="1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8" fontId="36" fillId="16" borderId="11" xfId="0" applyNumberFormat="1" applyFont="1" applyFill="1" applyBorder="1" applyAlignment="1">
      <alignment horizontal="center" vertical="center"/>
    </xf>
    <xf numFmtId="44" fontId="36" fillId="0" borderId="0" xfId="0" applyNumberFormat="1" applyFont="1" applyAlignment="1">
      <alignment horizontal="center" vertical="center"/>
    </xf>
    <xf numFmtId="8" fontId="44" fillId="14" borderId="11" xfId="0" applyNumberFormat="1" applyFont="1" applyFill="1" applyBorder="1" applyAlignment="1">
      <alignment horizontal="center" vertical="center" wrapText="1"/>
    </xf>
    <xf numFmtId="167" fontId="36" fillId="4" borderId="10" xfId="0" applyNumberFormat="1" applyFont="1" applyFill="1" applyBorder="1" applyAlignment="1">
      <alignment horizontal="center" vertical="center"/>
    </xf>
    <xf numFmtId="16" fontId="39" fillId="0" borderId="11" xfId="0" applyNumberFormat="1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166" fontId="34" fillId="0" borderId="4" xfId="0" applyNumberFormat="1" applyFont="1" applyBorder="1" applyAlignment="1">
      <alignment horizontal="center" vertical="center"/>
    </xf>
    <xf numFmtId="0" fontId="38" fillId="0" borderId="4" xfId="0" applyFont="1" applyBorder="1" applyAlignment="1">
      <alignment horizontal="left" vertical="center"/>
    </xf>
    <xf numFmtId="0" fontId="36" fillId="4" borderId="12" xfId="0" applyFont="1" applyFill="1" applyBorder="1" applyAlignment="1">
      <alignment horizontal="center" vertical="center"/>
    </xf>
    <xf numFmtId="164" fontId="36" fillId="4" borderId="12" xfId="0" applyNumberFormat="1" applyFont="1" applyFill="1" applyBorder="1" applyAlignment="1">
      <alignment horizontal="center" vertical="center"/>
    </xf>
    <xf numFmtId="0" fontId="52" fillId="5" borderId="4" xfId="0" applyFont="1" applyFill="1" applyBorder="1" applyAlignment="1">
      <alignment horizontal="center" vertical="center" wrapText="1"/>
    </xf>
    <xf numFmtId="14" fontId="34" fillId="0" borderId="4" xfId="0" applyNumberFormat="1" applyFont="1" applyBorder="1" applyAlignment="1">
      <alignment horizontal="center" vertical="center"/>
    </xf>
    <xf numFmtId="0" fontId="37" fillId="19" borderId="11" xfId="0" applyFont="1" applyFill="1" applyBorder="1" applyAlignment="1">
      <alignment horizontal="center" vertical="center" wrapText="1"/>
    </xf>
    <xf numFmtId="0" fontId="36" fillId="4" borderId="16" xfId="0" applyFont="1" applyFill="1" applyBorder="1" applyAlignment="1">
      <alignment horizontal="center" vertical="center"/>
    </xf>
    <xf numFmtId="0" fontId="36" fillId="4" borderId="22" xfId="0" applyFont="1" applyFill="1" applyBorder="1" applyAlignment="1">
      <alignment horizontal="center" vertical="center"/>
    </xf>
    <xf numFmtId="14" fontId="36" fillId="4" borderId="22" xfId="0" applyNumberFormat="1" applyFont="1" applyFill="1" applyBorder="1" applyAlignment="1">
      <alignment horizontal="center" vertical="center"/>
    </xf>
    <xf numFmtId="166" fontId="36" fillId="4" borderId="22" xfId="0" applyNumberFormat="1" applyFont="1" applyFill="1" applyBorder="1" applyAlignment="1">
      <alignment horizontal="center" vertical="center"/>
    </xf>
    <xf numFmtId="0" fontId="36" fillId="4" borderId="17" xfId="0" applyFont="1" applyFill="1" applyBorder="1" applyAlignment="1">
      <alignment horizontal="center" vertical="center"/>
    </xf>
    <xf numFmtId="14" fontId="39" fillId="19" borderId="11" xfId="0" applyNumberFormat="1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 wrapText="1"/>
    </xf>
    <xf numFmtId="8" fontId="34" fillId="0" borderId="11" xfId="0" applyNumberFormat="1" applyFont="1" applyBorder="1" applyAlignment="1">
      <alignment horizontal="center" vertical="center" wrapText="1"/>
    </xf>
    <xf numFmtId="166" fontId="37" fillId="5" borderId="4" xfId="0" applyNumberFormat="1" applyFont="1" applyFill="1" applyBorder="1" applyAlignment="1">
      <alignment horizontal="center" vertical="center"/>
    </xf>
    <xf numFmtId="166" fontId="36" fillId="4" borderId="12" xfId="0" applyNumberFormat="1" applyFont="1" applyFill="1" applyBorder="1" applyAlignment="1">
      <alignment horizontal="center" vertical="center"/>
    </xf>
    <xf numFmtId="164" fontId="36" fillId="4" borderId="21" xfId="0" applyNumberFormat="1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6" fillId="24" borderId="11" xfId="0" applyFont="1" applyFill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9" fillId="0" borderId="11" xfId="0" applyFont="1" applyBorder="1" applyAlignment="1">
      <alignment horizontal="left" vertical="center"/>
    </xf>
    <xf numFmtId="0" fontId="34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19" borderId="11" xfId="0" applyFont="1" applyFill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8" fontId="39" fillId="0" borderId="11" xfId="0" applyNumberFormat="1" applyFont="1" applyBorder="1" applyAlignment="1">
      <alignment horizontal="center" vertical="center" wrapText="1"/>
    </xf>
    <xf numFmtId="8" fontId="37" fillId="19" borderId="11" xfId="0" applyNumberFormat="1" applyFont="1" applyFill="1" applyBorder="1" applyAlignment="1">
      <alignment horizontal="center" vertical="center" wrapText="1"/>
    </xf>
    <xf numFmtId="14" fontId="39" fillId="0" borderId="11" xfId="0" applyNumberFormat="1" applyFont="1" applyBorder="1" applyAlignment="1">
      <alignment horizontal="center" vertical="center" wrapText="1"/>
    </xf>
    <xf numFmtId="0" fontId="51" fillId="19" borderId="11" xfId="0" applyFont="1" applyFill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 wrapText="1"/>
    </xf>
    <xf numFmtId="0" fontId="39" fillId="19" borderId="11" xfId="0" applyFont="1" applyFill="1" applyBorder="1" applyAlignment="1">
      <alignment horizontal="left" vertical="center"/>
    </xf>
    <xf numFmtId="0" fontId="51" fillId="19" borderId="11" xfId="0" applyFont="1" applyFill="1" applyBorder="1" applyAlignment="1">
      <alignment horizontal="left" vertical="center"/>
    </xf>
    <xf numFmtId="0" fontId="52" fillId="19" borderId="11" xfId="0" applyFont="1" applyFill="1" applyBorder="1" applyAlignment="1">
      <alignment horizontal="left" vertical="center"/>
    </xf>
    <xf numFmtId="0" fontId="34" fillId="19" borderId="11" xfId="0" applyFont="1" applyFill="1" applyBorder="1" applyAlignment="1">
      <alignment horizontal="center" vertical="center" wrapText="1"/>
    </xf>
    <xf numFmtId="14" fontId="34" fillId="19" borderId="11" xfId="0" applyNumberFormat="1" applyFont="1" applyFill="1" applyBorder="1" applyAlignment="1">
      <alignment horizontal="center" vertical="center" wrapText="1"/>
    </xf>
    <xf numFmtId="14" fontId="34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8" fontId="3" fillId="0" borderId="11" xfId="0" applyNumberFormat="1" applyFont="1" applyBorder="1" applyAlignment="1">
      <alignment horizontal="center" vertical="center" wrapText="1"/>
    </xf>
    <xf numFmtId="0" fontId="38" fillId="19" borderId="11" xfId="1" applyFont="1" applyFill="1" applyBorder="1" applyAlignment="1">
      <alignment horizontal="left" vertical="center"/>
    </xf>
    <xf numFmtId="0" fontId="38" fillId="0" borderId="11" xfId="1" applyFont="1" applyBorder="1" applyAlignment="1">
      <alignment horizontal="left" vertical="center"/>
    </xf>
    <xf numFmtId="0" fontId="48" fillId="19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4" fontId="36" fillId="4" borderId="12" xfId="0" applyNumberFormat="1" applyFont="1" applyFill="1" applyBorder="1" applyAlignment="1">
      <alignment horizontal="center" vertical="center"/>
    </xf>
    <xf numFmtId="0" fontId="50" fillId="4" borderId="12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5" borderId="15" xfId="0" applyFont="1" applyFill="1" applyBorder="1" applyAlignment="1">
      <alignment horizontal="center" vertical="center"/>
    </xf>
    <xf numFmtId="14" fontId="34" fillId="0" borderId="15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0" fontId="57" fillId="0" borderId="15" xfId="0" applyFont="1" applyBorder="1" applyAlignment="1">
      <alignment horizontal="left" vertical="center"/>
    </xf>
    <xf numFmtId="0" fontId="39" fillId="19" borderId="11" xfId="0" applyFont="1" applyFill="1" applyBorder="1" applyAlignment="1">
      <alignment horizontal="center" vertical="center"/>
    </xf>
    <xf numFmtId="0" fontId="48" fillId="19" borderId="11" xfId="0" applyFont="1" applyFill="1" applyBorder="1" applyAlignment="1">
      <alignment horizontal="center" vertical="center"/>
    </xf>
    <xf numFmtId="14" fontId="37" fillId="19" borderId="11" xfId="0" applyNumberFormat="1" applyFont="1" applyFill="1" applyBorder="1" applyAlignment="1">
      <alignment horizontal="center" vertical="center"/>
    </xf>
    <xf numFmtId="8" fontId="39" fillId="19" borderId="11" xfId="0" applyNumberFormat="1" applyFont="1" applyFill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16" fontId="37" fillId="19" borderId="11" xfId="0" applyNumberFormat="1" applyFont="1" applyFill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8" fontId="39" fillId="0" borderId="11" xfId="0" applyNumberFormat="1" applyFont="1" applyBorder="1" applyAlignment="1">
      <alignment horizontal="center" vertical="center"/>
    </xf>
    <xf numFmtId="14" fontId="39" fillId="0" borderId="11" xfId="0" applyNumberFormat="1" applyFont="1" applyBorder="1" applyAlignment="1">
      <alignment horizontal="center" vertical="center"/>
    </xf>
    <xf numFmtId="0" fontId="51" fillId="19" borderId="11" xfId="0" applyFont="1" applyFill="1" applyBorder="1" applyAlignment="1">
      <alignment horizontal="center" vertical="center"/>
    </xf>
    <xf numFmtId="16" fontId="39" fillId="0" borderId="11" xfId="0" applyNumberFormat="1" applyFont="1" applyBorder="1" applyAlignment="1">
      <alignment horizontal="center" vertical="center"/>
    </xf>
    <xf numFmtId="8" fontId="48" fillId="19" borderId="11" xfId="0" applyNumberFormat="1" applyFont="1" applyFill="1" applyBorder="1" applyAlignment="1">
      <alignment horizontal="center" vertical="center"/>
    </xf>
    <xf numFmtId="0" fontId="36" fillId="24" borderId="1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7" fillId="5" borderId="15" xfId="0" applyFont="1" applyFill="1" applyBorder="1" applyAlignment="1">
      <alignment vertical="center"/>
    </xf>
    <xf numFmtId="0" fontId="40" fillId="5" borderId="15" xfId="0" applyFont="1" applyFill="1" applyBorder="1" applyAlignment="1">
      <alignment horizontal="center" vertical="center"/>
    </xf>
    <xf numFmtId="169" fontId="34" fillId="0" borderId="15" xfId="0" applyNumberFormat="1" applyFont="1" applyBorder="1" applyAlignment="1">
      <alignment horizontal="center" vertical="center"/>
    </xf>
    <xf numFmtId="166" fontId="37" fillId="5" borderId="15" xfId="0" applyNumberFormat="1" applyFont="1" applyFill="1" applyBorder="1" applyAlignment="1">
      <alignment horizontal="center" vertical="center"/>
    </xf>
    <xf numFmtId="0" fontId="53" fillId="5" borderId="15" xfId="0" applyFont="1" applyFill="1" applyBorder="1" applyAlignment="1">
      <alignment horizontal="center" vertical="center"/>
    </xf>
    <xf numFmtId="0" fontId="40" fillId="19" borderId="11" xfId="0" applyFont="1" applyFill="1" applyBorder="1" applyAlignment="1">
      <alignment horizontal="center" vertical="center" wrapText="1"/>
    </xf>
    <xf numFmtId="16" fontId="40" fillId="0" borderId="11" xfId="0" applyNumberFormat="1" applyFont="1" applyBorder="1" applyAlignment="1">
      <alignment horizontal="center" vertical="center" wrapText="1"/>
    </xf>
    <xf numFmtId="0" fontId="58" fillId="19" borderId="11" xfId="1" applyFill="1" applyBorder="1" applyAlignment="1">
      <alignment horizontal="center" vertical="center" wrapText="1"/>
    </xf>
    <xf numFmtId="8" fontId="60" fillId="19" borderId="11" xfId="0" applyNumberFormat="1" applyFont="1" applyFill="1" applyBorder="1" applyAlignment="1">
      <alignment horizontal="center" vertical="center" wrapText="1"/>
    </xf>
    <xf numFmtId="0" fontId="59" fillId="19" borderId="11" xfId="0" quotePrefix="1" applyFont="1" applyFill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8" fontId="3" fillId="19" borderId="11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8" fontId="34" fillId="19" borderId="11" xfId="0" applyNumberFormat="1" applyFont="1" applyFill="1" applyBorder="1" applyAlignment="1">
      <alignment horizontal="center" vertical="center" wrapText="1"/>
    </xf>
    <xf numFmtId="0" fontId="38" fillId="19" borderId="11" xfId="1" applyFont="1" applyFill="1" applyBorder="1" applyAlignment="1">
      <alignment vertical="center" wrapText="1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/>
    </xf>
    <xf numFmtId="0" fontId="39" fillId="0" borderId="0" xfId="0" applyFont="1" applyAlignment="1">
      <alignment horizontal="right" vertical="center"/>
    </xf>
    <xf numFmtId="0" fontId="44" fillId="0" borderId="1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9" borderId="11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9" fillId="0" borderId="0" xfId="0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5" fillId="9" borderId="16" xfId="0" applyFont="1" applyFill="1" applyBorder="1" applyAlignment="1">
      <alignment horizontal="center" vertical="center" wrapText="1"/>
    </xf>
    <xf numFmtId="0" fontId="25" fillId="9" borderId="17" xfId="0" applyFont="1" applyFill="1" applyBorder="1" applyAlignment="1">
      <alignment horizontal="center" vertical="center" wrapText="1"/>
    </xf>
    <xf numFmtId="0" fontId="25" fillId="9" borderId="18" xfId="0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0" fontId="24" fillId="9" borderId="13" xfId="0" applyFont="1" applyFill="1" applyBorder="1" applyAlignment="1">
      <alignment horizontal="center" vertical="center" wrapText="1"/>
    </xf>
    <xf numFmtId="0" fontId="24" fillId="9" borderId="14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168" fontId="46" fillId="0" borderId="12" xfId="0" applyNumberFormat="1" applyFont="1" applyBorder="1" applyAlignment="1">
      <alignment horizontal="center" vertical="center" wrapText="1"/>
    </xf>
    <xf numFmtId="168" fontId="46" fillId="0" borderId="15" xfId="0" applyNumberFormat="1" applyFont="1" applyBorder="1" applyAlignment="1">
      <alignment horizontal="center" vertical="center" wrapText="1"/>
    </xf>
    <xf numFmtId="0" fontId="35" fillId="9" borderId="13" xfId="0" applyFont="1" applyFill="1" applyBorder="1" applyAlignment="1">
      <alignment horizontal="center" vertical="center"/>
    </xf>
    <xf numFmtId="0" fontId="35" fillId="9" borderId="20" xfId="0" applyFont="1" applyFill="1" applyBorder="1" applyAlignment="1">
      <alignment horizontal="center" vertical="center"/>
    </xf>
    <xf numFmtId="0" fontId="35" fillId="9" borderId="14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5" fillId="0" borderId="1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43" fillId="0" borderId="7" xfId="0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0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2" fillId="0" borderId="3" xfId="0" applyFont="1" applyBorder="1"/>
    <xf numFmtId="0" fontId="12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2" fillId="0" borderId="7" xfId="0" applyFont="1" applyBorder="1"/>
    <xf numFmtId="0" fontId="38" fillId="0" borderId="11" xfId="1" applyFont="1" applyBorder="1" applyAlignment="1">
      <alignment horizontal="center" vertical="center"/>
    </xf>
    <xf numFmtId="0" fontId="34" fillId="19" borderId="11" xfId="0" applyFont="1" applyFill="1" applyBorder="1" applyAlignment="1">
      <alignment horizontal="left" vertical="center" wrapText="1"/>
    </xf>
    <xf numFmtId="168" fontId="26" fillId="23" borderId="11" xfId="0" quotePrefix="1" applyNumberFormat="1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44" fontId="36" fillId="16" borderId="11" xfId="0" applyNumberFormat="1" applyFont="1" applyFill="1" applyBorder="1" applyAlignment="1">
      <alignment vertical="center"/>
    </xf>
    <xf numFmtId="44" fontId="36" fillId="0" borderId="0" xfId="0" applyNumberFormat="1" applyFont="1" applyAlignment="1">
      <alignment vertical="center"/>
    </xf>
    <xf numFmtId="44" fontId="44" fillId="14" borderId="11" xfId="0" applyNumberFormat="1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46BDC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zHgtTMTK7PaEw6YShDjvry8BLbg7peV6/view?usp=drive_link" TargetMode="External"/><Relationship Id="rId13" Type="http://schemas.openxmlformats.org/officeDocument/2006/relationships/hyperlink" Target="https://drive.google.com/file/d/1JkFXD2G0xr1ZzMWPZSB6YCX4MIbc5b1T/view?usp=drive_link" TargetMode="External"/><Relationship Id="rId18" Type="http://schemas.openxmlformats.org/officeDocument/2006/relationships/hyperlink" Target="https://drive.google.com/file/d/1vpaG8MkxsO_S7ZgiVDrXuTqPXl10wWCo/view?usp=drive_link" TargetMode="External"/><Relationship Id="rId26" Type="http://schemas.openxmlformats.org/officeDocument/2006/relationships/hyperlink" Target="https://drive.google.com/file/d/1fs5gHdJ3yb23iyP15gEwE7A-6IG7QB1Z/view?usp=drive_link" TargetMode="External"/><Relationship Id="rId3" Type="http://schemas.openxmlformats.org/officeDocument/2006/relationships/hyperlink" Target="https://drive.google.com/file/d/1YzWP8ako3mSoIex6p0NUbnJ5LpRi-0la/view?usp=drive_link" TargetMode="External"/><Relationship Id="rId21" Type="http://schemas.openxmlformats.org/officeDocument/2006/relationships/hyperlink" Target="https://drive.google.com/file/d/1fWihA16Wl5NOoGIGDSgdbE5w8KpQv6EO/view?usp=drive_link" TargetMode="External"/><Relationship Id="rId7" Type="http://schemas.openxmlformats.org/officeDocument/2006/relationships/hyperlink" Target="https://drive.google.com/file/d/1SnxjZD1y3YX4wIXI4EsY5B7vxJP8MKJc/view?usp=drive_link" TargetMode="External"/><Relationship Id="rId12" Type="http://schemas.openxmlformats.org/officeDocument/2006/relationships/hyperlink" Target="https://drive.google.com/file/d/14lFnfgBXnN2FKefzoz14Kp-uZBxEyUGy/view?usp=drive_link" TargetMode="External"/><Relationship Id="rId17" Type="http://schemas.openxmlformats.org/officeDocument/2006/relationships/hyperlink" Target="https://drive.google.com/file/d/1nAyy8tl9xs-XVyv1BeN6eLozc2pDFoMf/view?usp=drive_link" TargetMode="External"/><Relationship Id="rId25" Type="http://schemas.openxmlformats.org/officeDocument/2006/relationships/hyperlink" Target="https://drive.google.com/file/d/1jz8okoBC_fV8ts8HvRIj6-vu0uWoIYrg/view?usp=drive_link" TargetMode="External"/><Relationship Id="rId2" Type="http://schemas.openxmlformats.org/officeDocument/2006/relationships/hyperlink" Target="https://drive.google.com/file/d/1KR-y82bTZuH_jf_--0Ddbt7uv40iRdVU/view?usp=drive_link" TargetMode="External"/><Relationship Id="rId16" Type="http://schemas.openxmlformats.org/officeDocument/2006/relationships/hyperlink" Target="https://drive.google.com/file/d/1p8HsL7ib1Jfb7Z1r-MeF-C7qot38y_cf/view?usp=drive_link" TargetMode="External"/><Relationship Id="rId20" Type="http://schemas.openxmlformats.org/officeDocument/2006/relationships/hyperlink" Target="https://drive.google.com/file/d/1CR2ZGlsS60U24q3SSJlvMEWuIHXADJBN/view?usp=drive_link" TargetMode="External"/><Relationship Id="rId29" Type="http://schemas.openxmlformats.org/officeDocument/2006/relationships/hyperlink" Target="https://drive.google.com/file/d/1gYFltIrcAfagIvoZl2Lh9tLT4QohtMJ5/view?usp=drive_link" TargetMode="External"/><Relationship Id="rId1" Type="http://schemas.openxmlformats.org/officeDocument/2006/relationships/hyperlink" Target="https://drive.google.com/file/d/182L7Fgdq1BjAFuwtow9XNMEMVnBodoTZ/view?usp=drive_link" TargetMode="External"/><Relationship Id="rId6" Type="http://schemas.openxmlformats.org/officeDocument/2006/relationships/hyperlink" Target="https://drive.google.com/file/d/1TLduQqGAF2GBkRVH8GhJR-6zIGbjxhCV/view?usp=drive_link" TargetMode="External"/><Relationship Id="rId11" Type="http://schemas.openxmlformats.org/officeDocument/2006/relationships/hyperlink" Target="https://drive.google.com/file/d/1cAZ2cf8Fc7cVjcJPZGFX-bXRHyKFahBh/view?usp=drive_link" TargetMode="External"/><Relationship Id="rId24" Type="http://schemas.openxmlformats.org/officeDocument/2006/relationships/hyperlink" Target="https://drive.google.com/file/d/1wtdIho9r9E_dnI9UvhQuzAmrNR1ghKfj/view?usp=drive_link" TargetMode="External"/><Relationship Id="rId32" Type="http://schemas.openxmlformats.org/officeDocument/2006/relationships/hyperlink" Target="https://drive.google.com/file/d/11zJBHrOBaAMZ92WmuFY4d0JLOvAuPmk_/view?usp=drive_link" TargetMode="External"/><Relationship Id="rId5" Type="http://schemas.openxmlformats.org/officeDocument/2006/relationships/hyperlink" Target="https://drive.google.com/file/d/1dB0_2d-qfl2Jke5pxhRN4olGvnQ-K0KI/view?usp=drive_link" TargetMode="External"/><Relationship Id="rId15" Type="http://schemas.openxmlformats.org/officeDocument/2006/relationships/hyperlink" Target="https://drive.google.com/file/d/1AdCigEXOEB6Gg67pUuROaOJxlFV2W-Gh/view?usp=drive_link" TargetMode="External"/><Relationship Id="rId23" Type="http://schemas.openxmlformats.org/officeDocument/2006/relationships/hyperlink" Target="https://drive.google.com/file/d/1SI3NFXmAlC77Sa8Y-dswpiOiJGbr6No-/view?usp=drive_link" TargetMode="External"/><Relationship Id="rId28" Type="http://schemas.openxmlformats.org/officeDocument/2006/relationships/hyperlink" Target="https://drive.google.com/file/d/19SgboPljLPzaCl-oGXyCM_dVCbCpYFxF/view?usp=drive_link" TargetMode="External"/><Relationship Id="rId10" Type="http://schemas.openxmlformats.org/officeDocument/2006/relationships/hyperlink" Target="https://drive.google.com/file/d/1j4x8pWT-ObsGZv9WLe34rJE8Miw_wIYg/view?usp=drive_link" TargetMode="External"/><Relationship Id="rId19" Type="http://schemas.openxmlformats.org/officeDocument/2006/relationships/hyperlink" Target="https://drive.google.com/file/d/1BmKkpjGgqhYuHausXncsutAemO5LQZCj/view?usp=drive_link" TargetMode="External"/><Relationship Id="rId31" Type="http://schemas.openxmlformats.org/officeDocument/2006/relationships/hyperlink" Target="https://drive.google.com/file/d/18Oa5l8SY4LflPW4_l-ljhA8Ukkd5T5Wb/view?usp=drive_link" TargetMode="External"/><Relationship Id="rId4" Type="http://schemas.openxmlformats.org/officeDocument/2006/relationships/hyperlink" Target="https://drive.google.com/file/d/1fWihA16Wl5NOoGIGDSgdbE5w8KpQv6EO/view?usp=drive_link" TargetMode="External"/><Relationship Id="rId9" Type="http://schemas.openxmlformats.org/officeDocument/2006/relationships/hyperlink" Target="https://drive.google.com/file/d/17cXYDrQriTCicfIAIni0I1vODQtifVRQ/view?usp=drive_link" TargetMode="External"/><Relationship Id="rId14" Type="http://schemas.openxmlformats.org/officeDocument/2006/relationships/hyperlink" Target="https://drive.google.com/file/d/1NJYoKpX0eQt2TC3GtSCITSIgkfRxtjrl/view?usp=drive_link" TargetMode="External"/><Relationship Id="rId22" Type="http://schemas.openxmlformats.org/officeDocument/2006/relationships/hyperlink" Target="https://drive.google.com/file/d/1-YjOGSMz-BfOGCba0DVxvt0xuYgbVqbi/view?usp=drive_link" TargetMode="External"/><Relationship Id="rId27" Type="http://schemas.openxmlformats.org/officeDocument/2006/relationships/hyperlink" Target="https://drive.google.com/file/d/1fqE8fEMA6p0vjist1JKxNDMASU4N-0zA/view?usp=drive_link" TargetMode="External"/><Relationship Id="rId30" Type="http://schemas.openxmlformats.org/officeDocument/2006/relationships/hyperlink" Target="https://drive.google.com/file/d/1rI1oOo-qAddQmmsNOswYhsmRasO0wFZy/view?usp=drive_link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jjDcvqvRtlxAVAuwHDCk2pXT-qLrCtEB/view?usp=drive_link" TargetMode="External"/><Relationship Id="rId18" Type="http://schemas.openxmlformats.org/officeDocument/2006/relationships/hyperlink" Target="https://drive.google.com/file/d/1pC96Fcd6K1Ene6IbmYHUrCBSB07uiQAL/view?usp=drive_link" TargetMode="External"/><Relationship Id="rId26" Type="http://schemas.openxmlformats.org/officeDocument/2006/relationships/hyperlink" Target="https://drive.google.com/file/d/1TlG5gffrxVIT1zg54kcJ64Flmsfld-Op/view?usp=drive_link" TargetMode="External"/><Relationship Id="rId3" Type="http://schemas.openxmlformats.org/officeDocument/2006/relationships/hyperlink" Target="https://drive.google.com/file/d/1-GSR_ysvbSKYiq4VQsvYn8wizg1iD28N/view?usp=drive_link" TargetMode="External"/><Relationship Id="rId21" Type="http://schemas.openxmlformats.org/officeDocument/2006/relationships/hyperlink" Target="https://drive.google.com/file/d/1qYkRI6ok4XWFQE45kitz5qOlaspbtCRS/view?usp=drive_link" TargetMode="External"/><Relationship Id="rId34" Type="http://schemas.openxmlformats.org/officeDocument/2006/relationships/hyperlink" Target="https://drive.google.com/file/d/1kGQc2hOorX4jyUu9__IuDRlBKOnqw1Bw/view?usp=drive_link" TargetMode="External"/><Relationship Id="rId7" Type="http://schemas.openxmlformats.org/officeDocument/2006/relationships/hyperlink" Target="https://drive.google.com/file/d/16k6a0lmbQYpKqQzr2iGZ7PL2WbqK55B7/view?usp=drive_link" TargetMode="External"/><Relationship Id="rId12" Type="http://schemas.openxmlformats.org/officeDocument/2006/relationships/hyperlink" Target="https://drive.google.com/file/d/1P9IoZeK6THuMFGQavbtrLDAQWFMsEUQW/view?usp=drive_link" TargetMode="External"/><Relationship Id="rId17" Type="http://schemas.openxmlformats.org/officeDocument/2006/relationships/hyperlink" Target="https://drive.google.com/file/d/1V4PasgqcrLzIbm_FdZuTg_8MndqZ7Zu9/view?usp=drive_link" TargetMode="External"/><Relationship Id="rId25" Type="http://schemas.openxmlformats.org/officeDocument/2006/relationships/hyperlink" Target="https://drive.google.com/file/d/1QVooxegaxmLJV2PKtpjFqEV204SwVlIR/view?usp=drive_link" TargetMode="External"/><Relationship Id="rId33" Type="http://schemas.openxmlformats.org/officeDocument/2006/relationships/hyperlink" Target="https://drive.google.com/file/d/1dgND6RwzNDxfqrAo3HNphkXQSBVqDOLi/view?usp=drive_link" TargetMode="External"/><Relationship Id="rId2" Type="http://schemas.openxmlformats.org/officeDocument/2006/relationships/hyperlink" Target="https://drive.google.com/file/d/1uHYBnm_AB2-xCTrwVJz9J7rLJLgoGn7g/view?usp=drive_link" TargetMode="External"/><Relationship Id="rId16" Type="http://schemas.openxmlformats.org/officeDocument/2006/relationships/hyperlink" Target="https://drive.google.com/file/d/1P1fnZFOuSxUeWGrZnfjdKCUN9MGzvQDX/view?usp=drive_link" TargetMode="External"/><Relationship Id="rId20" Type="http://schemas.openxmlformats.org/officeDocument/2006/relationships/hyperlink" Target="https://drive.google.com/file/d/150GXjHDFgfy8ce_eLii28GnHOJNBcwNb/view?usp=drive_link" TargetMode="External"/><Relationship Id="rId29" Type="http://schemas.openxmlformats.org/officeDocument/2006/relationships/hyperlink" Target="https://drive.google.com/file/d/1TzrvKLytBaG4kq-H7PNVEBZ3KjH9Vmdo/view?usp=drive_link" TargetMode="External"/><Relationship Id="rId1" Type="http://schemas.openxmlformats.org/officeDocument/2006/relationships/hyperlink" Target="https://drive.google.com/file/d/1jdDptUc9YDQjBNS-JijjIor8fKLA5LOs/view?usp=drive_link" TargetMode="External"/><Relationship Id="rId6" Type="http://schemas.openxmlformats.org/officeDocument/2006/relationships/hyperlink" Target="https://drive.google.com/file/d/1xfEkuydtJWZz1oP0YQLv2sCwxvDV2826/view?usp=drive_link" TargetMode="External"/><Relationship Id="rId11" Type="http://schemas.openxmlformats.org/officeDocument/2006/relationships/hyperlink" Target="https://drive.google.com/file/d/1L9Ytyax3svUVoKH1X99DUdpAFV0P3iYy/view?usp=drive_link" TargetMode="External"/><Relationship Id="rId24" Type="http://schemas.openxmlformats.org/officeDocument/2006/relationships/hyperlink" Target="https://drive.google.com/file/d/195K0LNw9cUTG-sI2YcRJEyvxCXHmsMTy/view?usp=drive_link" TargetMode="External"/><Relationship Id="rId32" Type="http://schemas.openxmlformats.org/officeDocument/2006/relationships/hyperlink" Target="https://drive.google.com/file/d/1wuSMHYbfxBG3uvX2ASzm5p8z7vnVYqUn/view?usp=drive_link" TargetMode="External"/><Relationship Id="rId5" Type="http://schemas.openxmlformats.org/officeDocument/2006/relationships/hyperlink" Target="https://drive.google.com/file/d/1etsTPCqZ_AfYX5499a1SEm5u9M2jK2L2/view?usp=drive_link" TargetMode="External"/><Relationship Id="rId15" Type="http://schemas.openxmlformats.org/officeDocument/2006/relationships/hyperlink" Target="https://drive.google.com/file/d/1Mk0kurrFVtbIPpnR3Xkq_0rpIUEQuI4z/view?usp=drive_link" TargetMode="External"/><Relationship Id="rId23" Type="http://schemas.openxmlformats.org/officeDocument/2006/relationships/hyperlink" Target="https://drive.google.com/file/d/1YIkDDFhrlj3vjREFJRGQhRwsySl1-U3h/view?usp=drive_link" TargetMode="External"/><Relationship Id="rId28" Type="http://schemas.openxmlformats.org/officeDocument/2006/relationships/hyperlink" Target="https://drive.google.com/file/d/18XvxwgHjNXQEnmZtLSDTL3T9EmMVD66U/view?usp=drive_link" TargetMode="External"/><Relationship Id="rId10" Type="http://schemas.openxmlformats.org/officeDocument/2006/relationships/hyperlink" Target="https://drive.google.com/file/d/1kdcqSJNo91oXVtnfLuNJTifec2R65mWT/view?usp=drive_link" TargetMode="External"/><Relationship Id="rId19" Type="http://schemas.openxmlformats.org/officeDocument/2006/relationships/hyperlink" Target="https://drive.google.com/file/d/1YfvJnrfy0RS2l-i_GJOsRwmsZCPhTA6h/view?usp=drive_link" TargetMode="External"/><Relationship Id="rId31" Type="http://schemas.openxmlformats.org/officeDocument/2006/relationships/hyperlink" Target="https://drive.google.com/file/d/1u9VRgV8Qh6ZcV-C59Pd8MZY1Iku7d0uR/view?usp=drive_link" TargetMode="External"/><Relationship Id="rId4" Type="http://schemas.openxmlformats.org/officeDocument/2006/relationships/hyperlink" Target="https://drive.google.com/file/d/152568UmUTXQxHdv38_Sqm6aPH0qFtlDw/view?usp=drive_link" TargetMode="External"/><Relationship Id="rId9" Type="http://schemas.openxmlformats.org/officeDocument/2006/relationships/hyperlink" Target="https://drive.google.com/file/d/1iYEjTbmI0fIf0AnrG_teE-7e1q7LgkAe/view?usp=drive_link" TargetMode="External"/><Relationship Id="rId14" Type="http://schemas.openxmlformats.org/officeDocument/2006/relationships/hyperlink" Target="https://drive.google.com/file/d/10x66ae8PLJq2uopS07MvRYAQFcs3pSda/view?usp=share_link" TargetMode="External"/><Relationship Id="rId22" Type="http://schemas.openxmlformats.org/officeDocument/2006/relationships/hyperlink" Target="https://drive.google.com/file/d/1fk4TzzNB50I26Xu8JDjkZEhRnWt8ZYJh/view?usp=drive_link" TargetMode="External"/><Relationship Id="rId27" Type="http://schemas.openxmlformats.org/officeDocument/2006/relationships/hyperlink" Target="https://drive.google.com/file/d/1enEjZgjrSICcnGz2phvQ4EjikCd9xpyo/view?usp=drive_link" TargetMode="External"/><Relationship Id="rId30" Type="http://schemas.openxmlformats.org/officeDocument/2006/relationships/hyperlink" Target="https://drive.google.com/file/d/1BcRMG9JP9M40e02EubdD9EEruIvPy0QH/view?usp=drive_link" TargetMode="External"/><Relationship Id="rId8" Type="http://schemas.openxmlformats.org/officeDocument/2006/relationships/hyperlink" Target="https://drive.google.com/file/d/1njGzQwFDW9KKVwtC6VhDtuIA2JZlnx6B/view?usp=drive_link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UFpuX5OL2MpNXdbB50q8z25kkddnLlWs/view?usp=drive_link" TargetMode="External"/><Relationship Id="rId13" Type="http://schemas.openxmlformats.org/officeDocument/2006/relationships/hyperlink" Target="https://drive.google.com/file/d/1tFiGBvQMJSdD9HWbk8uwRbR9ITxyef_5/view?usp=drive_link" TargetMode="External"/><Relationship Id="rId18" Type="http://schemas.openxmlformats.org/officeDocument/2006/relationships/hyperlink" Target="https://drive.google.com/file/d/1OcdaCC0A3uJfJ3-DUXxnvs0-vAc0TenH/view?usp=drive_link" TargetMode="External"/><Relationship Id="rId3" Type="http://schemas.openxmlformats.org/officeDocument/2006/relationships/hyperlink" Target="https://drive.google.com/file/d/1AGMnMjG6yJA29oaIqLKx9xrU84E3h9OY/view?usp=drive_link" TargetMode="External"/><Relationship Id="rId21" Type="http://schemas.openxmlformats.org/officeDocument/2006/relationships/hyperlink" Target="https://drive.google.com/file/d/1ubPugsys0UJdh5znVNtU1PeBN4Mtqfx4/view?usp=drive_link" TargetMode="External"/><Relationship Id="rId7" Type="http://schemas.openxmlformats.org/officeDocument/2006/relationships/hyperlink" Target="https://drive.google.com/file/d/1FNLfwAU5yG5nkfZeyzM48_OXlafMGnkY/view?usp=drive_link" TargetMode="External"/><Relationship Id="rId12" Type="http://schemas.openxmlformats.org/officeDocument/2006/relationships/hyperlink" Target="https://drive.google.com/file/d/14DgRqenUuXFBDXQULSvPmQWq7jR-mQPg/view?usp=drive_link" TargetMode="External"/><Relationship Id="rId17" Type="http://schemas.openxmlformats.org/officeDocument/2006/relationships/hyperlink" Target="https://drive.google.com/file/d/19OOsTqo96a9URKFpxzRaig7j2aPBPC_W/view?usp=drive_link" TargetMode="External"/><Relationship Id="rId25" Type="http://schemas.openxmlformats.org/officeDocument/2006/relationships/hyperlink" Target="https://drive.google.com/file/d/1ZiPKCwfprQKVpoeGWQz4GVu4Fno6o-7_/view?usp=drive_link" TargetMode="External"/><Relationship Id="rId2" Type="http://schemas.openxmlformats.org/officeDocument/2006/relationships/hyperlink" Target="https://drive.google.com/file/d/1yXCvxSfTcxWe68Svp8l5i662zFrkcqov/view?usp=drive_link" TargetMode="External"/><Relationship Id="rId16" Type="http://schemas.openxmlformats.org/officeDocument/2006/relationships/hyperlink" Target="https://drive.google.com/file/d/1pxrqhjA2SD-Pl0XyGc_32f80sPIitrNr/view?usp=drive_link" TargetMode="External"/><Relationship Id="rId20" Type="http://schemas.openxmlformats.org/officeDocument/2006/relationships/hyperlink" Target="https://drive.google.com/file/d/1OD2Rzt8H2wLvnbPBjvv85JAZmJ5d5ZyQ/view?usp=drive_link" TargetMode="External"/><Relationship Id="rId1" Type="http://schemas.openxmlformats.org/officeDocument/2006/relationships/hyperlink" Target="https://drive.google.com/file/d/1Th1tqWO3aXuyxpRsW1HYEwa9O2gE6EWH/view?usp=drive_link" TargetMode="External"/><Relationship Id="rId6" Type="http://schemas.openxmlformats.org/officeDocument/2006/relationships/hyperlink" Target="https://drive.google.com/file/d/1-hAQI_oxCEzlxWFd6qErefWf5yXMinKr/view?usp=drive_link" TargetMode="External"/><Relationship Id="rId11" Type="http://schemas.openxmlformats.org/officeDocument/2006/relationships/hyperlink" Target="https://drive.google.com/file/d/18IlDWj497S3g8McqeUG0YwNcKXQrbCPe/view?usp=drive_link" TargetMode="External"/><Relationship Id="rId24" Type="http://schemas.openxmlformats.org/officeDocument/2006/relationships/hyperlink" Target="https://drive.google.com/file/d/1HpDYChblvRAkXg5KY_NQG37LkePcP2Zb/view?usp=drive_link" TargetMode="External"/><Relationship Id="rId5" Type="http://schemas.openxmlformats.org/officeDocument/2006/relationships/hyperlink" Target="https://drive.google.com/file/d/1HmMwRdpvl8sKk6o4jdYoadRH5CKPuGNY/view?usp=drive_link" TargetMode="External"/><Relationship Id="rId15" Type="http://schemas.openxmlformats.org/officeDocument/2006/relationships/hyperlink" Target="https://drive.google.com/file/d/1UvCwNgxcXDquISrC4LaZw01X9fFqoeFQ/view?usp=drive_link" TargetMode="External"/><Relationship Id="rId23" Type="http://schemas.openxmlformats.org/officeDocument/2006/relationships/hyperlink" Target="https://drive.google.com/file/d/1UQQVMhP-bH_yGGeNyApAJ7fLanKxAroP/view?usp=drive_link" TargetMode="External"/><Relationship Id="rId10" Type="http://schemas.openxmlformats.org/officeDocument/2006/relationships/hyperlink" Target="https://drive.google.com/file/d/12w3a7B4BhJxT5Z8DZkf70Ra4-cIJ1AAv/view?usp=drive_link" TargetMode="External"/><Relationship Id="rId19" Type="http://schemas.openxmlformats.org/officeDocument/2006/relationships/hyperlink" Target="https://drive.google.com/file/d/1B93UI953OzFFVN-hSjPex5g5YxUGBJTv/view?usp=drive_link" TargetMode="External"/><Relationship Id="rId4" Type="http://schemas.openxmlformats.org/officeDocument/2006/relationships/hyperlink" Target="https://drive.google.com/file/d/1pSlW4e50DPYBFUV6AcJ-fMbP8Ogc22rL/view?usp=drive_link" TargetMode="External"/><Relationship Id="rId9" Type="http://schemas.openxmlformats.org/officeDocument/2006/relationships/hyperlink" Target="https://drive.google.com/file/d/1FiAcqEznE5xsEg2eCaDWDR8PBsN1fz8T/view?usp=drive_link" TargetMode="External"/><Relationship Id="rId14" Type="http://schemas.openxmlformats.org/officeDocument/2006/relationships/hyperlink" Target="https://drive.google.com/file/d/1yEQVhFubXwt7oFtA7HvLpDlDFeXloGjZ/view?usp=drive_link" TargetMode="External"/><Relationship Id="rId22" Type="http://schemas.openxmlformats.org/officeDocument/2006/relationships/hyperlink" Target="https://drive.google.com/file/d/12ZFvsWH1EjerhaJlG7OCNUJ-vXM3MdEs/view?usp=drive_link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attac.c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9042-2E31-4437-9449-1346B8087902}">
  <sheetPr>
    <pageSetUpPr fitToPage="1"/>
  </sheetPr>
  <dimension ref="B1:G26"/>
  <sheetViews>
    <sheetView showGridLines="0" workbookViewId="0">
      <selection activeCell="G11" sqref="G11"/>
    </sheetView>
  </sheetViews>
  <sheetFormatPr defaultColWidth="10.28515625" defaultRowHeight="24.95" customHeight="1"/>
  <cols>
    <col min="1" max="1" width="4.140625" style="69" customWidth="1"/>
    <col min="2" max="2" width="25.7109375" style="69" customWidth="1"/>
    <col min="3" max="3" width="11.28515625" style="69" customWidth="1"/>
    <col min="4" max="4" width="32" style="69" customWidth="1"/>
    <col min="5" max="5" width="29.28515625" style="69" customWidth="1"/>
    <col min="6" max="6" width="35.28515625" style="69" customWidth="1"/>
    <col min="7" max="7" width="61.85546875" style="69" bestFit="1" customWidth="1"/>
    <col min="8" max="16384" width="10.28515625" style="69"/>
  </cols>
  <sheetData>
    <row r="1" spans="2:7" s="72" customFormat="1" ht="24.95" customHeight="1">
      <c r="B1" s="251" t="s">
        <v>635</v>
      </c>
      <c r="C1" s="251"/>
      <c r="D1" s="251"/>
      <c r="E1" s="250" t="e" vm="1">
        <v>#VALUE!</v>
      </c>
      <c r="F1" s="250"/>
      <c r="G1" s="250"/>
    </row>
    <row r="2" spans="2:7" s="72" customFormat="1" ht="24.95" customHeight="1">
      <c r="B2" s="251"/>
      <c r="C2" s="251"/>
      <c r="D2" s="251"/>
      <c r="E2" s="250"/>
      <c r="F2" s="250"/>
      <c r="G2" s="250"/>
    </row>
    <row r="3" spans="2:7" s="72" customFormat="1" ht="24.95" customHeight="1">
      <c r="B3" s="251"/>
      <c r="C3" s="251"/>
      <c r="D3" s="251"/>
      <c r="E3" s="250"/>
      <c r="F3" s="250"/>
      <c r="G3" s="250"/>
    </row>
    <row r="4" spans="2:7" s="72" customFormat="1" ht="24.95" customHeight="1">
      <c r="B4" s="251"/>
      <c r="C4" s="251"/>
      <c r="D4" s="251"/>
      <c r="E4" s="250"/>
      <c r="F4" s="250"/>
      <c r="G4" s="250"/>
    </row>
    <row r="5" spans="2:7" s="81" customFormat="1" ht="24.95" customHeight="1">
      <c r="B5" s="258" t="s">
        <v>447</v>
      </c>
      <c r="C5" s="258"/>
      <c r="D5" s="258"/>
      <c r="E5" s="258"/>
      <c r="F5" s="258"/>
      <c r="G5" s="258"/>
    </row>
    <row r="6" spans="2:7" s="72" customFormat="1" ht="24.95" customHeight="1">
      <c r="B6" s="75"/>
      <c r="C6" s="75"/>
    </row>
    <row r="7" spans="2:7" ht="24.95" customHeight="1">
      <c r="B7" s="256" t="s">
        <v>450</v>
      </c>
      <c r="C7" s="257"/>
      <c r="D7" s="112" t="s">
        <v>449</v>
      </c>
      <c r="E7" s="112" t="s">
        <v>451</v>
      </c>
      <c r="F7" s="112" t="s">
        <v>452</v>
      </c>
      <c r="G7" s="112" t="s">
        <v>465</v>
      </c>
    </row>
    <row r="8" spans="2:7" ht="24.95" customHeight="1">
      <c r="B8" s="80"/>
      <c r="C8" s="80"/>
      <c r="D8" s="80"/>
      <c r="E8" s="80"/>
      <c r="F8" s="80"/>
      <c r="G8" s="80"/>
    </row>
    <row r="9" spans="2:7" ht="24.95" customHeight="1">
      <c r="B9" s="252" t="s">
        <v>464</v>
      </c>
      <c r="C9" s="253"/>
      <c r="D9" s="259">
        <f>SUM(COMERCIAL!C65:C66)</f>
        <v>9462.25</v>
      </c>
      <c r="E9" s="259">
        <f>D9*20%</f>
        <v>1892.45</v>
      </c>
      <c r="F9" s="138">
        <f>COMERCIAL!D65</f>
        <v>1247.798</v>
      </c>
      <c r="G9" s="118" t="s">
        <v>472</v>
      </c>
    </row>
    <row r="10" spans="2:7" ht="24.95" customHeight="1">
      <c r="B10" s="254"/>
      <c r="C10" s="255"/>
      <c r="D10" s="260"/>
      <c r="E10" s="260"/>
      <c r="F10" s="138">
        <f>COMERCIAL!D66</f>
        <v>644.65200000000016</v>
      </c>
      <c r="G10" s="118" t="s">
        <v>491</v>
      </c>
    </row>
    <row r="11" spans="2:7" ht="24.95" customHeight="1">
      <c r="B11" s="70"/>
      <c r="C11" s="70"/>
      <c r="D11" s="126"/>
      <c r="E11" s="126"/>
      <c r="F11" s="127"/>
      <c r="G11" s="71"/>
    </row>
    <row r="12" spans="2:7" ht="24.95" customHeight="1">
      <c r="B12" s="248" t="s">
        <v>439</v>
      </c>
      <c r="C12" s="248"/>
      <c r="D12" s="128">
        <f>PETROLINA!F8</f>
        <v>130</v>
      </c>
      <c r="E12" s="295">
        <f>PETROLINA!D16</f>
        <v>26</v>
      </c>
      <c r="F12" s="125">
        <f>PETROLINA!D16</f>
        <v>26</v>
      </c>
      <c r="G12" s="119" t="s">
        <v>492</v>
      </c>
    </row>
    <row r="13" spans="2:7" ht="24.95" customHeight="1">
      <c r="B13" s="70"/>
      <c r="C13" s="70"/>
      <c r="D13" s="126"/>
      <c r="E13" s="126"/>
      <c r="F13" s="127"/>
      <c r="G13" s="71"/>
    </row>
    <row r="14" spans="2:7" ht="24.95" customHeight="1">
      <c r="B14" s="248" t="s">
        <v>441</v>
      </c>
      <c r="C14" s="248"/>
      <c r="D14" s="125">
        <f>ITABUNA!F8</f>
        <v>950</v>
      </c>
      <c r="E14" s="125">
        <f>D14*20%</f>
        <v>190</v>
      </c>
      <c r="F14" s="125">
        <f>ITABUNA!D18</f>
        <v>190</v>
      </c>
      <c r="G14" s="118" t="s">
        <v>473</v>
      </c>
    </row>
    <row r="15" spans="2:7" ht="24.95" customHeight="1">
      <c r="B15" s="70"/>
      <c r="C15" s="70"/>
      <c r="D15" s="126"/>
      <c r="E15" s="126"/>
      <c r="F15" s="127"/>
      <c r="G15" s="71"/>
    </row>
    <row r="16" spans="2:7" ht="24.95" customHeight="1">
      <c r="B16" s="248" t="s">
        <v>440</v>
      </c>
      <c r="C16" s="248"/>
      <c r="D16" s="128">
        <f>JUAZEIRO!F8</f>
        <v>3840</v>
      </c>
      <c r="E16" s="128">
        <f>D16*20%</f>
        <v>768</v>
      </c>
      <c r="F16" s="128">
        <f>JUAZEIRO!D19</f>
        <v>768</v>
      </c>
      <c r="G16" s="119" t="s">
        <v>479</v>
      </c>
    </row>
    <row r="17" spans="2:7" ht="24.95" customHeight="1">
      <c r="B17" s="70"/>
      <c r="C17" s="70"/>
      <c r="D17" s="126"/>
      <c r="E17" s="126"/>
      <c r="F17" s="126"/>
      <c r="G17" s="71"/>
    </row>
    <row r="18" spans="2:7" ht="24.95" hidden="1" customHeight="1">
      <c r="B18" s="248" t="s">
        <v>493</v>
      </c>
      <c r="C18" s="248"/>
      <c r="D18" s="128">
        <f>'JUAZEIRO DO NORTE'!F8</f>
        <v>0</v>
      </c>
      <c r="E18" s="128">
        <f>D18*20%</f>
        <v>0</v>
      </c>
      <c r="F18" s="128">
        <f>'JUAZEIRO DO NORTE'!D16</f>
        <v>0</v>
      </c>
      <c r="G18" s="119" t="s">
        <v>495</v>
      </c>
    </row>
    <row r="19" spans="2:7" ht="24.95" hidden="1" customHeight="1">
      <c r="B19" s="70"/>
      <c r="C19" s="70"/>
      <c r="D19" s="126"/>
      <c r="E19" s="126"/>
      <c r="F19" s="126"/>
      <c r="G19" s="71"/>
    </row>
    <row r="20" spans="2:7" ht="24.95" hidden="1" customHeight="1">
      <c r="B20" s="248" t="s">
        <v>494</v>
      </c>
      <c r="C20" s="248"/>
      <c r="D20" s="128">
        <f>'SENHOR DO BONFIM'!F8</f>
        <v>0</v>
      </c>
      <c r="E20" s="128">
        <f>'SENHOR DO BONFIM'!D16</f>
        <v>0</v>
      </c>
      <c r="F20" s="128">
        <f>'SENHOR DO BONFIM'!D16</f>
        <v>0</v>
      </c>
      <c r="G20" s="119" t="s">
        <v>496</v>
      </c>
    </row>
    <row r="21" spans="2:7" ht="24.95" customHeight="1">
      <c r="B21" s="70"/>
      <c r="C21" s="70"/>
      <c r="D21" s="126"/>
      <c r="E21" s="126"/>
      <c r="F21" s="126"/>
      <c r="G21" s="71"/>
    </row>
    <row r="22" spans="2:7" ht="24.95" customHeight="1">
      <c r="D22" s="249" t="s">
        <v>445</v>
      </c>
      <c r="E22" s="249"/>
      <c r="F22" s="124">
        <f>SUM(E9:E16)</f>
        <v>2876.45</v>
      </c>
    </row>
    <row r="24" spans="2:7" ht="24.95" customHeight="1">
      <c r="D24" s="246" t="s">
        <v>444</v>
      </c>
      <c r="E24" s="247"/>
      <c r="F24" s="124">
        <f>SUM(D9:D16)</f>
        <v>14382.25</v>
      </c>
    </row>
    <row r="26" spans="2:7" ht="24.95" customHeight="1">
      <c r="D26" s="246" t="s">
        <v>446</v>
      </c>
      <c r="E26" s="247"/>
      <c r="F26" s="124">
        <f>F24-F22</f>
        <v>11505.8</v>
      </c>
    </row>
  </sheetData>
  <mergeCells count="15">
    <mergeCell ref="E1:G4"/>
    <mergeCell ref="B1:D4"/>
    <mergeCell ref="B12:C12"/>
    <mergeCell ref="B7:C7"/>
    <mergeCell ref="B5:G5"/>
    <mergeCell ref="D9:D10"/>
    <mergeCell ref="E9:E10"/>
    <mergeCell ref="B9:C10"/>
    <mergeCell ref="D26:E26"/>
    <mergeCell ref="B14:C14"/>
    <mergeCell ref="B16:C16"/>
    <mergeCell ref="D22:E22"/>
    <mergeCell ref="D24:E24"/>
    <mergeCell ref="B18:C18"/>
    <mergeCell ref="B20:C20"/>
  </mergeCells>
  <pageMargins left="0.511811024" right="0.511811024" top="0.78740157499999996" bottom="0.78740157499999996" header="0.31496062000000002" footer="0.31496062000000002"/>
  <pageSetup paperSize="9" scale="68" fitToWidth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J66"/>
  <sheetViews>
    <sheetView showGridLines="0" tabSelected="1" zoomScaleNormal="100" workbookViewId="0">
      <selection activeCell="E16" sqref="E16"/>
    </sheetView>
  </sheetViews>
  <sheetFormatPr defaultColWidth="12.5703125" defaultRowHeight="22.5" customHeight="1"/>
  <cols>
    <col min="1" max="1" width="4.28515625" style="108" customWidth="1"/>
    <col min="2" max="2" width="48" style="108" customWidth="1"/>
    <col min="3" max="3" width="16.7109375" style="108" customWidth="1"/>
    <col min="4" max="4" width="18" style="108" customWidth="1"/>
    <col min="5" max="5" width="38.42578125" style="108" customWidth="1"/>
    <col min="6" max="6" width="17.140625" style="93" customWidth="1"/>
    <col min="7" max="7" width="14.5703125" style="93" customWidth="1"/>
    <col min="8" max="8" width="21.42578125" style="108" customWidth="1"/>
    <col min="9" max="9" width="25.7109375" style="108" customWidth="1"/>
    <col min="10" max="10" width="17.7109375" style="108" customWidth="1"/>
    <col min="11" max="16" width="20.85546875" style="108" customWidth="1"/>
    <col min="17" max="16384" width="12.5703125" style="108"/>
  </cols>
  <sheetData>
    <row r="1" spans="2:10" ht="22.5" customHeight="1">
      <c r="B1" s="264" t="s">
        <v>497</v>
      </c>
      <c r="C1" s="264"/>
      <c r="D1" s="264"/>
      <c r="E1" s="102"/>
      <c r="F1" s="102"/>
      <c r="G1" s="265" t="e" vm="1">
        <v>#VALUE!</v>
      </c>
      <c r="H1" s="265"/>
      <c r="I1" s="265"/>
      <c r="J1" s="265"/>
    </row>
    <row r="2" spans="2:10" ht="22.5" customHeight="1">
      <c r="B2" s="264"/>
      <c r="C2" s="264"/>
      <c r="D2" s="264"/>
      <c r="E2" s="102"/>
      <c r="F2" s="102"/>
      <c r="G2" s="265"/>
      <c r="H2" s="265"/>
      <c r="I2" s="265"/>
      <c r="J2" s="265"/>
    </row>
    <row r="3" spans="2:10" ht="22.5" customHeight="1">
      <c r="B3" s="264"/>
      <c r="C3" s="264"/>
      <c r="D3" s="264"/>
      <c r="E3" s="102"/>
      <c r="F3" s="102"/>
      <c r="G3" s="265"/>
      <c r="H3" s="265"/>
      <c r="I3" s="265"/>
      <c r="J3" s="265"/>
    </row>
    <row r="4" spans="2:10" ht="22.5" customHeight="1">
      <c r="B4" s="101"/>
      <c r="C4" s="101"/>
      <c r="D4" s="101"/>
      <c r="E4" s="84"/>
      <c r="F4" s="102"/>
      <c r="G4" s="265"/>
      <c r="H4" s="265"/>
      <c r="I4" s="265"/>
      <c r="J4" s="265"/>
    </row>
    <row r="5" spans="2:10" ht="22.5" customHeight="1">
      <c r="B5" s="266" t="s">
        <v>483</v>
      </c>
      <c r="C5" s="266"/>
      <c r="D5" s="266"/>
      <c r="E5" s="266"/>
      <c r="F5" s="266"/>
      <c r="G5" s="266"/>
      <c r="H5" s="267" t="s">
        <v>447</v>
      </c>
      <c r="I5" s="267"/>
      <c r="J5" s="267"/>
    </row>
    <row r="6" spans="2:10" ht="10.5" customHeight="1">
      <c r="B6" s="84"/>
      <c r="C6" s="84"/>
      <c r="D6" s="84"/>
      <c r="E6" s="84"/>
      <c r="F6" s="94"/>
      <c r="G6" s="94"/>
      <c r="H6" s="84"/>
      <c r="I6" s="84"/>
      <c r="J6" s="84"/>
    </row>
    <row r="7" spans="2:10" ht="18.75" customHeight="1">
      <c r="B7" s="85" t="s">
        <v>454</v>
      </c>
      <c r="C7" s="86">
        <f>COUNTIF(C10:C34, "&lt;&gt;")</f>
        <v>22</v>
      </c>
      <c r="D7" s="84"/>
      <c r="E7" s="87" t="s">
        <v>455</v>
      </c>
      <c r="F7" s="88">
        <f>SUM(F10:F34)</f>
        <v>6238.99</v>
      </c>
      <c r="G7" s="94"/>
      <c r="H7" s="268" t="s">
        <v>456</v>
      </c>
      <c r="I7" s="269"/>
      <c r="J7" s="89">
        <f>SUM(G10:G34)</f>
        <v>3931.04</v>
      </c>
    </row>
    <row r="8" spans="2:10" ht="22.5" customHeight="1">
      <c r="B8" s="84"/>
      <c r="C8" s="84"/>
      <c r="D8" s="84"/>
      <c r="E8" s="84"/>
      <c r="F8" s="94"/>
      <c r="G8" s="94"/>
      <c r="H8" s="84"/>
      <c r="I8" s="84"/>
      <c r="J8" s="84"/>
    </row>
    <row r="9" spans="2:10" ht="22.5" customHeight="1">
      <c r="B9" s="163" t="s">
        <v>0</v>
      </c>
      <c r="C9" s="163" t="s">
        <v>2</v>
      </c>
      <c r="D9" s="163" t="s">
        <v>461</v>
      </c>
      <c r="E9" s="163" t="s">
        <v>3</v>
      </c>
      <c r="F9" s="164" t="s">
        <v>4</v>
      </c>
      <c r="G9" s="164" t="s">
        <v>5</v>
      </c>
      <c r="H9" s="163" t="s">
        <v>466</v>
      </c>
      <c r="I9" s="163" t="s">
        <v>7</v>
      </c>
      <c r="J9" s="163" t="s">
        <v>463</v>
      </c>
    </row>
    <row r="10" spans="2:10" ht="22.5" customHeight="1">
      <c r="B10" s="192" t="s">
        <v>498</v>
      </c>
      <c r="C10" s="167" t="s">
        <v>499</v>
      </c>
      <c r="D10" s="186"/>
      <c r="E10" s="186" t="s">
        <v>474</v>
      </c>
      <c r="F10" s="187">
        <v>125</v>
      </c>
      <c r="G10" s="188">
        <v>52.11</v>
      </c>
      <c r="H10" s="175" t="s">
        <v>468</v>
      </c>
      <c r="I10" s="200" t="s">
        <v>500</v>
      </c>
      <c r="J10" s="180" t="b">
        <v>1</v>
      </c>
    </row>
    <row r="11" spans="2:10" ht="22.5" customHeight="1">
      <c r="B11" s="192" t="s">
        <v>501</v>
      </c>
      <c r="C11" s="185" t="s">
        <v>502</v>
      </c>
      <c r="D11" s="189"/>
      <c r="E11" s="186" t="s">
        <v>474</v>
      </c>
      <c r="F11" s="187">
        <v>140</v>
      </c>
      <c r="G11" s="188">
        <v>85.91</v>
      </c>
      <c r="H11" s="175" t="s">
        <v>468</v>
      </c>
      <c r="I11" s="201" t="s">
        <v>503</v>
      </c>
      <c r="J11" s="180" t="b">
        <v>1</v>
      </c>
    </row>
    <row r="12" spans="2:10" ht="22.5" customHeight="1">
      <c r="B12" s="183" t="s">
        <v>504</v>
      </c>
      <c r="C12" s="190" t="s">
        <v>505</v>
      </c>
      <c r="D12" s="189"/>
      <c r="E12" s="186" t="s">
        <v>474</v>
      </c>
      <c r="F12" s="188">
        <v>190</v>
      </c>
      <c r="G12" s="187">
        <v>119.77</v>
      </c>
      <c r="H12" s="175" t="s">
        <v>468</v>
      </c>
      <c r="I12" s="201" t="s">
        <v>506</v>
      </c>
      <c r="J12" s="180" t="b">
        <v>1</v>
      </c>
    </row>
    <row r="13" spans="2:10" ht="22.5" customHeight="1">
      <c r="B13" s="183" t="s">
        <v>507</v>
      </c>
      <c r="C13" s="190" t="s">
        <v>508</v>
      </c>
      <c r="D13" s="189"/>
      <c r="E13" s="186" t="s">
        <v>474</v>
      </c>
      <c r="F13" s="188">
        <v>190</v>
      </c>
      <c r="G13" s="187">
        <v>136.76</v>
      </c>
      <c r="H13" s="175" t="s">
        <v>468</v>
      </c>
      <c r="I13" s="201" t="s">
        <v>509</v>
      </c>
      <c r="J13" s="180" t="b">
        <v>1</v>
      </c>
    </row>
    <row r="14" spans="2:10" ht="22.5" customHeight="1">
      <c r="B14" s="183" t="s">
        <v>510</v>
      </c>
      <c r="C14" s="191" t="s">
        <v>511</v>
      </c>
      <c r="D14" s="189"/>
      <c r="E14" s="186" t="s">
        <v>474</v>
      </c>
      <c r="F14" s="187">
        <v>300</v>
      </c>
      <c r="G14" s="188">
        <v>145.71</v>
      </c>
      <c r="H14" s="175" t="s">
        <v>468</v>
      </c>
      <c r="I14" s="201" t="s">
        <v>512</v>
      </c>
      <c r="J14" s="180" t="b">
        <v>1</v>
      </c>
    </row>
    <row r="15" spans="2:10" ht="22.5" customHeight="1">
      <c r="B15" s="183" t="s">
        <v>513</v>
      </c>
      <c r="C15" s="191" t="s">
        <v>514</v>
      </c>
      <c r="D15" s="186"/>
      <c r="E15" s="186" t="s">
        <v>474</v>
      </c>
      <c r="F15" s="187">
        <v>300</v>
      </c>
      <c r="G15" s="188">
        <v>188.62</v>
      </c>
      <c r="H15" s="175" t="s">
        <v>468</v>
      </c>
      <c r="I15" s="201" t="s">
        <v>515</v>
      </c>
      <c r="J15" s="180" t="b">
        <v>1</v>
      </c>
    </row>
    <row r="16" spans="2:10" ht="22.5" customHeight="1">
      <c r="B16" s="193" t="s">
        <v>516</v>
      </c>
      <c r="C16" s="186" t="s">
        <v>517</v>
      </c>
      <c r="D16" s="189"/>
      <c r="E16" s="186" t="s">
        <v>474</v>
      </c>
      <c r="F16" s="187">
        <v>150</v>
      </c>
      <c r="G16" s="188">
        <v>105.9</v>
      </c>
      <c r="H16" s="175" t="s">
        <v>468</v>
      </c>
      <c r="I16" s="201" t="s">
        <v>518</v>
      </c>
      <c r="J16" s="180" t="b">
        <v>1</v>
      </c>
    </row>
    <row r="17" spans="2:10" ht="22.5" customHeight="1">
      <c r="B17" s="194" t="s">
        <v>519</v>
      </c>
      <c r="C17" s="186" t="s">
        <v>520</v>
      </c>
      <c r="D17" s="189"/>
      <c r="E17" s="186" t="s">
        <v>474</v>
      </c>
      <c r="F17" s="187">
        <v>290</v>
      </c>
      <c r="G17" s="188">
        <v>154.71</v>
      </c>
      <c r="H17" s="175" t="s">
        <v>468</v>
      </c>
      <c r="I17" s="201" t="s">
        <v>521</v>
      </c>
      <c r="J17" s="180" t="b">
        <v>0</v>
      </c>
    </row>
    <row r="18" spans="2:10" ht="22.5" customHeight="1">
      <c r="B18" s="194" t="s">
        <v>522</v>
      </c>
      <c r="C18" s="186" t="s">
        <v>523</v>
      </c>
      <c r="D18" s="189"/>
      <c r="E18" s="186" t="s">
        <v>474</v>
      </c>
      <c r="F18" s="187"/>
      <c r="G18" s="187">
        <v>123.17</v>
      </c>
      <c r="H18" s="175" t="s">
        <v>468</v>
      </c>
      <c r="I18" s="293" t="s">
        <v>482</v>
      </c>
      <c r="J18" s="180" t="b">
        <v>1</v>
      </c>
    </row>
    <row r="19" spans="2:10" ht="22.5" customHeight="1">
      <c r="B19" s="193" t="s">
        <v>522</v>
      </c>
      <c r="C19" s="186" t="s">
        <v>524</v>
      </c>
      <c r="D19" s="189"/>
      <c r="E19" s="186" t="s">
        <v>474</v>
      </c>
      <c r="F19" s="187"/>
      <c r="G19" s="188">
        <v>535.62</v>
      </c>
      <c r="H19" s="175" t="s">
        <v>468</v>
      </c>
      <c r="I19" s="293" t="s">
        <v>482</v>
      </c>
      <c r="J19" s="180" t="b">
        <v>1</v>
      </c>
    </row>
    <row r="20" spans="2:10" ht="22.5" customHeight="1">
      <c r="B20" s="194" t="s">
        <v>522</v>
      </c>
      <c r="C20" s="190" t="s">
        <v>525</v>
      </c>
      <c r="D20" s="189"/>
      <c r="E20" s="186" t="s">
        <v>474</v>
      </c>
      <c r="F20" s="187">
        <v>1600</v>
      </c>
      <c r="G20" s="187">
        <v>460</v>
      </c>
      <c r="H20" s="175" t="s">
        <v>468</v>
      </c>
      <c r="I20" s="201" t="s">
        <v>526</v>
      </c>
      <c r="J20" s="180" t="b">
        <v>1</v>
      </c>
    </row>
    <row r="21" spans="2:10" ht="22.5" customHeight="1">
      <c r="B21" s="183" t="s">
        <v>527</v>
      </c>
      <c r="C21" s="186" t="s">
        <v>528</v>
      </c>
      <c r="D21" s="189"/>
      <c r="E21" s="186" t="s">
        <v>474</v>
      </c>
      <c r="F21" s="187">
        <v>100</v>
      </c>
      <c r="G21" s="187">
        <v>100.71</v>
      </c>
      <c r="H21" s="175" t="s">
        <v>468</v>
      </c>
      <c r="I21" s="201" t="s">
        <v>529</v>
      </c>
      <c r="J21" s="180" t="b">
        <v>1</v>
      </c>
    </row>
    <row r="22" spans="2:10" ht="22.5" customHeight="1">
      <c r="B22" s="183" t="s">
        <v>530</v>
      </c>
      <c r="C22" s="186" t="s">
        <v>531</v>
      </c>
      <c r="D22" s="189"/>
      <c r="E22" s="186" t="s">
        <v>474</v>
      </c>
      <c r="F22" s="187">
        <v>200</v>
      </c>
      <c r="G22" s="187">
        <v>72.81</v>
      </c>
      <c r="H22" s="175" t="s">
        <v>468</v>
      </c>
      <c r="I22" s="201" t="s">
        <v>532</v>
      </c>
      <c r="J22" s="180" t="b">
        <v>1</v>
      </c>
    </row>
    <row r="23" spans="2:10" ht="22.5" customHeight="1">
      <c r="B23" s="183" t="s">
        <v>533</v>
      </c>
      <c r="C23" s="190" t="s">
        <v>534</v>
      </c>
      <c r="D23" s="186"/>
      <c r="E23" s="186" t="s">
        <v>474</v>
      </c>
      <c r="F23" s="187">
        <v>140</v>
      </c>
      <c r="G23" s="187">
        <v>63.81</v>
      </c>
      <c r="H23" s="175" t="s">
        <v>468</v>
      </c>
      <c r="I23" s="201" t="s">
        <v>535</v>
      </c>
      <c r="J23" s="180" t="b">
        <v>1</v>
      </c>
    </row>
    <row r="24" spans="2:10" ht="22.5" customHeight="1">
      <c r="B24" s="192" t="s">
        <v>536</v>
      </c>
      <c r="C24" s="190" t="s">
        <v>537</v>
      </c>
      <c r="D24" s="186"/>
      <c r="E24" s="186" t="s">
        <v>474</v>
      </c>
      <c r="F24" s="187">
        <v>277.23</v>
      </c>
      <c r="G24" s="187">
        <v>277.23</v>
      </c>
      <c r="H24" s="175" t="s">
        <v>468</v>
      </c>
      <c r="I24" s="201" t="s">
        <v>538</v>
      </c>
      <c r="J24" s="180" t="b">
        <v>1</v>
      </c>
    </row>
    <row r="25" spans="2:10" ht="22.5" customHeight="1">
      <c r="B25" s="193" t="s">
        <v>539</v>
      </c>
      <c r="C25" s="186" t="s">
        <v>540</v>
      </c>
      <c r="D25" s="186"/>
      <c r="E25" s="186" t="s">
        <v>474</v>
      </c>
      <c r="F25" s="187">
        <v>136.76</v>
      </c>
      <c r="G25" s="187">
        <v>136.76</v>
      </c>
      <c r="H25" s="175" t="s">
        <v>468</v>
      </c>
      <c r="I25" s="201" t="s">
        <v>541</v>
      </c>
      <c r="J25" s="180" t="b">
        <v>1</v>
      </c>
    </row>
    <row r="26" spans="2:10" ht="22.5" customHeight="1">
      <c r="B26" s="193" t="s">
        <v>542</v>
      </c>
      <c r="C26" s="186" t="s">
        <v>543</v>
      </c>
      <c r="D26" s="186"/>
      <c r="E26" s="186" t="s">
        <v>474</v>
      </c>
      <c r="F26" s="187">
        <v>150</v>
      </c>
      <c r="G26" s="187">
        <v>97.67</v>
      </c>
      <c r="H26" s="175" t="s">
        <v>468</v>
      </c>
      <c r="I26" s="201" t="s">
        <v>544</v>
      </c>
      <c r="J26" s="180" t="b">
        <v>1</v>
      </c>
    </row>
    <row r="27" spans="2:10" ht="22.5" customHeight="1">
      <c r="B27" s="193" t="s">
        <v>545</v>
      </c>
      <c r="C27" s="186"/>
      <c r="D27" s="186"/>
      <c r="E27" s="186" t="s">
        <v>474</v>
      </c>
      <c r="F27" s="187">
        <v>140</v>
      </c>
      <c r="G27" s="187">
        <v>112.41</v>
      </c>
      <c r="H27" s="175" t="s">
        <v>468</v>
      </c>
      <c r="I27" s="201" t="s">
        <v>546</v>
      </c>
      <c r="J27" s="180" t="b">
        <v>1</v>
      </c>
    </row>
    <row r="28" spans="2:10" ht="22.5" customHeight="1">
      <c r="B28" s="193" t="s">
        <v>547</v>
      </c>
      <c r="C28" s="186" t="s">
        <v>548</v>
      </c>
      <c r="D28" s="186"/>
      <c r="E28" s="186" t="s">
        <v>474</v>
      </c>
      <c r="F28" s="187">
        <v>100</v>
      </c>
      <c r="G28" s="187">
        <v>53.91</v>
      </c>
      <c r="H28" s="175" t="s">
        <v>468</v>
      </c>
      <c r="I28" s="201" t="s">
        <v>549</v>
      </c>
      <c r="J28" s="180" t="b">
        <v>1</v>
      </c>
    </row>
    <row r="29" spans="2:10" ht="22.5" customHeight="1">
      <c r="B29" s="193" t="s">
        <v>550</v>
      </c>
      <c r="C29" s="186" t="s">
        <v>551</v>
      </c>
      <c r="D29" s="186"/>
      <c r="E29" s="186" t="s">
        <v>474</v>
      </c>
      <c r="F29" s="187">
        <v>300</v>
      </c>
      <c r="G29" s="187">
        <v>126.06</v>
      </c>
      <c r="H29" s="175" t="s">
        <v>468</v>
      </c>
      <c r="I29" s="201" t="s">
        <v>552</v>
      </c>
      <c r="J29" s="180" t="b">
        <v>1</v>
      </c>
    </row>
    <row r="30" spans="2:10" ht="22.5" customHeight="1">
      <c r="B30" s="193" t="s">
        <v>553</v>
      </c>
      <c r="C30" s="186" t="s">
        <v>554</v>
      </c>
      <c r="D30" s="186"/>
      <c r="E30" s="186" t="s">
        <v>474</v>
      </c>
      <c r="F30" s="187">
        <v>450</v>
      </c>
      <c r="G30" s="187">
        <v>271.06</v>
      </c>
      <c r="H30" s="175" t="s">
        <v>468</v>
      </c>
      <c r="I30" s="201" t="s">
        <v>555</v>
      </c>
      <c r="J30" s="180" t="b">
        <v>1</v>
      </c>
    </row>
    <row r="31" spans="2:10" ht="22.5" customHeight="1">
      <c r="B31" s="193" t="s">
        <v>556</v>
      </c>
      <c r="C31" s="186" t="s">
        <v>557</v>
      </c>
      <c r="D31" s="186"/>
      <c r="E31" s="186" t="s">
        <v>474</v>
      </c>
      <c r="F31" s="187">
        <v>180</v>
      </c>
      <c r="G31" s="187">
        <v>112.41</v>
      </c>
      <c r="H31" s="175" t="s">
        <v>468</v>
      </c>
      <c r="I31" s="201" t="s">
        <v>558</v>
      </c>
      <c r="J31" s="180" t="b">
        <v>1</v>
      </c>
    </row>
    <row r="32" spans="2:10" ht="22.5" customHeight="1">
      <c r="B32" s="193" t="s">
        <v>559</v>
      </c>
      <c r="C32" s="186" t="s">
        <v>560</v>
      </c>
      <c r="D32" s="186"/>
      <c r="E32" s="186" t="s">
        <v>474</v>
      </c>
      <c r="F32" s="187">
        <v>600</v>
      </c>
      <c r="G32" s="187">
        <v>276.51</v>
      </c>
      <c r="H32" s="175" t="s">
        <v>468</v>
      </c>
      <c r="I32" s="201" t="s">
        <v>561</v>
      </c>
      <c r="J32" s="180" t="b">
        <v>1</v>
      </c>
    </row>
    <row r="33" spans="2:10" ht="22.5" customHeight="1">
      <c r="B33" s="193" t="s">
        <v>562</v>
      </c>
      <c r="C33" s="186"/>
      <c r="D33" s="186"/>
      <c r="E33" s="186" t="s">
        <v>474</v>
      </c>
      <c r="F33" s="187">
        <v>180</v>
      </c>
      <c r="G33" s="187">
        <v>121.41</v>
      </c>
      <c r="H33" s="175" t="s">
        <v>468</v>
      </c>
      <c r="I33" s="201" t="s">
        <v>563</v>
      </c>
      <c r="J33" s="180" t="b">
        <v>1</v>
      </c>
    </row>
    <row r="34" spans="2:10" ht="22.5" customHeight="1">
      <c r="B34" s="165"/>
      <c r="C34" s="160"/>
      <c r="D34" s="166"/>
      <c r="E34" s="160"/>
      <c r="F34" s="161"/>
      <c r="G34" s="177"/>
      <c r="H34" s="160"/>
      <c r="I34" s="162"/>
      <c r="J34" s="182"/>
    </row>
    <row r="38" spans="2:10" ht="22.5" customHeight="1">
      <c r="B38" s="261" t="s">
        <v>453</v>
      </c>
      <c r="C38" s="262"/>
      <c r="D38" s="262"/>
      <c r="E38" s="262"/>
      <c r="F38" s="262"/>
      <c r="G38" s="262"/>
      <c r="H38" s="263"/>
    </row>
    <row r="39" spans="2:10" ht="9" customHeight="1"/>
    <row r="40" spans="2:10" ht="22.5" customHeight="1">
      <c r="B40" s="168" t="s">
        <v>144</v>
      </c>
      <c r="C40" s="169" t="s">
        <v>2</v>
      </c>
      <c r="D40" s="170" t="s">
        <v>442</v>
      </c>
      <c r="E40" s="169" t="s">
        <v>443</v>
      </c>
      <c r="F40" s="169" t="s">
        <v>145</v>
      </c>
      <c r="G40" s="171" t="s">
        <v>146</v>
      </c>
      <c r="H40" s="172" t="s">
        <v>147</v>
      </c>
    </row>
    <row r="41" spans="2:10" ht="22.5" customHeight="1">
      <c r="B41" s="294" t="s">
        <v>604</v>
      </c>
      <c r="C41" s="195" t="s">
        <v>564</v>
      </c>
      <c r="D41" s="196">
        <v>46121</v>
      </c>
      <c r="E41" s="197">
        <v>46147</v>
      </c>
      <c r="F41" s="176" t="s">
        <v>149</v>
      </c>
      <c r="G41" s="176">
        <v>81.83</v>
      </c>
      <c r="H41" s="216" t="s">
        <v>480</v>
      </c>
    </row>
    <row r="42" spans="2:10" ht="22.5" customHeight="1">
      <c r="B42" s="294" t="s">
        <v>605</v>
      </c>
      <c r="C42" s="195" t="s">
        <v>565</v>
      </c>
      <c r="D42" s="196">
        <v>46125</v>
      </c>
      <c r="E42" s="197">
        <v>46147</v>
      </c>
      <c r="F42" s="176" t="s">
        <v>149</v>
      </c>
      <c r="G42" s="176">
        <v>101.32</v>
      </c>
      <c r="H42" s="216" t="s">
        <v>480</v>
      </c>
    </row>
    <row r="43" spans="2:10" ht="22.5" customHeight="1">
      <c r="B43" s="294" t="s">
        <v>603</v>
      </c>
      <c r="C43" s="195" t="s">
        <v>566</v>
      </c>
      <c r="D43" s="196">
        <v>46128</v>
      </c>
      <c r="E43" s="197">
        <v>46152</v>
      </c>
      <c r="F43" s="176" t="s">
        <v>149</v>
      </c>
      <c r="G43" s="176">
        <v>74.61</v>
      </c>
      <c r="H43" s="216" t="s">
        <v>480</v>
      </c>
    </row>
    <row r="44" spans="2:10" ht="22.5" customHeight="1">
      <c r="B44" s="294" t="s">
        <v>602</v>
      </c>
      <c r="C44" s="195" t="s">
        <v>567</v>
      </c>
      <c r="D44" s="196">
        <v>46136</v>
      </c>
      <c r="E44" s="197">
        <v>46152</v>
      </c>
      <c r="F44" s="176" t="s">
        <v>149</v>
      </c>
      <c r="G44" s="176">
        <v>59.33</v>
      </c>
      <c r="H44" s="216" t="s">
        <v>480</v>
      </c>
    </row>
    <row r="45" spans="2:10" ht="22.5" customHeight="1">
      <c r="B45" s="294" t="s">
        <v>601</v>
      </c>
      <c r="C45" s="195" t="s">
        <v>568</v>
      </c>
      <c r="D45" s="196">
        <v>46142</v>
      </c>
      <c r="E45" s="197">
        <v>46152</v>
      </c>
      <c r="F45" s="199" t="s">
        <v>149</v>
      </c>
      <c r="G45" s="199">
        <v>82.71</v>
      </c>
      <c r="H45" s="216" t="s">
        <v>480</v>
      </c>
    </row>
    <row r="46" spans="2:10" ht="22.5" customHeight="1">
      <c r="B46" s="294" t="s">
        <v>600</v>
      </c>
      <c r="C46" s="195" t="s">
        <v>569</v>
      </c>
      <c r="D46" s="196">
        <v>46146</v>
      </c>
      <c r="E46" s="197">
        <v>46152</v>
      </c>
      <c r="F46" s="199" t="s">
        <v>149</v>
      </c>
      <c r="G46" s="199">
        <v>238.74</v>
      </c>
      <c r="H46" s="216" t="s">
        <v>480</v>
      </c>
    </row>
    <row r="47" spans="2:10" ht="22.5" customHeight="1">
      <c r="B47" s="294" t="s">
        <v>599</v>
      </c>
      <c r="C47" s="195" t="s">
        <v>570</v>
      </c>
      <c r="D47" s="196">
        <v>46146</v>
      </c>
      <c r="E47" s="197">
        <v>46162</v>
      </c>
      <c r="F47" s="176" t="s">
        <v>149</v>
      </c>
      <c r="G47" s="176">
        <v>71.03</v>
      </c>
      <c r="H47" s="216" t="s">
        <v>480</v>
      </c>
    </row>
    <row r="48" spans="2:10" ht="22.5" customHeight="1">
      <c r="B48" s="294" t="s">
        <v>598</v>
      </c>
      <c r="C48" s="195" t="s">
        <v>571</v>
      </c>
      <c r="D48" s="196">
        <v>46146</v>
      </c>
      <c r="E48" s="197">
        <v>46152</v>
      </c>
      <c r="F48" s="176" t="s">
        <v>149</v>
      </c>
      <c r="G48" s="176">
        <v>227.68</v>
      </c>
      <c r="H48" s="216" t="s">
        <v>480</v>
      </c>
    </row>
    <row r="49" spans="2:10" ht="22.5" customHeight="1">
      <c r="B49" s="294" t="s">
        <v>597</v>
      </c>
      <c r="C49" s="195" t="s">
        <v>572</v>
      </c>
      <c r="D49" s="196">
        <v>46147</v>
      </c>
      <c r="E49" s="197">
        <v>46147</v>
      </c>
      <c r="F49" s="176" t="s">
        <v>149</v>
      </c>
      <c r="G49" s="176">
        <v>92.41</v>
      </c>
      <c r="H49" s="216" t="s">
        <v>480</v>
      </c>
    </row>
    <row r="50" spans="2:10" ht="22.5" customHeight="1">
      <c r="B50" s="294" t="s">
        <v>596</v>
      </c>
      <c r="C50" s="195" t="s">
        <v>573</v>
      </c>
      <c r="D50" s="196">
        <v>46149</v>
      </c>
      <c r="E50" s="197">
        <v>46152</v>
      </c>
      <c r="F50" s="176" t="s">
        <v>149</v>
      </c>
      <c r="G50" s="176">
        <v>63.8</v>
      </c>
      <c r="H50" s="216" t="s">
        <v>480</v>
      </c>
    </row>
    <row r="51" spans="2:10" ht="22.5" customHeight="1">
      <c r="B51" s="294" t="s">
        <v>595</v>
      </c>
      <c r="C51" s="195" t="s">
        <v>574</v>
      </c>
      <c r="D51" s="196">
        <v>46149</v>
      </c>
      <c r="E51" s="197">
        <v>46152</v>
      </c>
      <c r="F51" s="176" t="s">
        <v>149</v>
      </c>
      <c r="G51" s="176">
        <v>793.32</v>
      </c>
      <c r="H51" s="216" t="s">
        <v>480</v>
      </c>
    </row>
    <row r="52" spans="2:10" ht="22.5" customHeight="1">
      <c r="B52" s="294" t="s">
        <v>594</v>
      </c>
      <c r="C52" s="195" t="s">
        <v>575</v>
      </c>
      <c r="D52" s="196">
        <v>46153</v>
      </c>
      <c r="E52" s="197">
        <v>46153</v>
      </c>
      <c r="F52" s="176" t="s">
        <v>149</v>
      </c>
      <c r="G52" s="176">
        <v>61.91</v>
      </c>
      <c r="H52" s="216" t="s">
        <v>480</v>
      </c>
    </row>
    <row r="53" spans="2:10" ht="22.5" customHeight="1">
      <c r="B53" s="294" t="s">
        <v>593</v>
      </c>
      <c r="C53" s="195" t="s">
        <v>576</v>
      </c>
      <c r="D53" s="196">
        <v>46153</v>
      </c>
      <c r="E53" s="197">
        <v>46152</v>
      </c>
      <c r="F53" s="199" t="s">
        <v>149</v>
      </c>
      <c r="G53" s="199">
        <v>250.66</v>
      </c>
      <c r="H53" s="216" t="s">
        <v>480</v>
      </c>
    </row>
    <row r="54" spans="2:10" ht="22.5" customHeight="1">
      <c r="B54" s="294" t="s">
        <v>592</v>
      </c>
      <c r="C54" s="195" t="s">
        <v>577</v>
      </c>
      <c r="D54" s="196">
        <v>46154</v>
      </c>
      <c r="E54" s="197">
        <v>46152</v>
      </c>
      <c r="F54" s="199" t="s">
        <v>149</v>
      </c>
      <c r="G54" s="199">
        <v>114.18</v>
      </c>
      <c r="H54" s="216" t="s">
        <v>480</v>
      </c>
    </row>
    <row r="55" spans="2:10" ht="22.5" customHeight="1">
      <c r="B55" s="294" t="s">
        <v>591</v>
      </c>
      <c r="C55" s="195" t="s">
        <v>578</v>
      </c>
      <c r="D55" s="196">
        <v>46157</v>
      </c>
      <c r="E55" s="197">
        <v>46172</v>
      </c>
      <c r="F55" s="199" t="s">
        <v>149</v>
      </c>
      <c r="G55" s="199">
        <v>51.17</v>
      </c>
      <c r="H55" s="216" t="s">
        <v>480</v>
      </c>
    </row>
    <row r="56" spans="2:10" ht="22.5" customHeight="1">
      <c r="B56" s="294" t="s">
        <v>590</v>
      </c>
      <c r="C56" s="195" t="s">
        <v>579</v>
      </c>
      <c r="D56" s="196">
        <v>46160</v>
      </c>
      <c r="E56" s="197">
        <v>46163</v>
      </c>
      <c r="F56" s="199" t="s">
        <v>149</v>
      </c>
      <c r="G56" s="199">
        <v>369.96</v>
      </c>
      <c r="H56" s="216" t="s">
        <v>480</v>
      </c>
    </row>
    <row r="57" spans="2:10" ht="22.5" customHeight="1">
      <c r="B57" s="294" t="s">
        <v>589</v>
      </c>
      <c r="C57" s="195" t="s">
        <v>580</v>
      </c>
      <c r="D57" s="196">
        <v>46161</v>
      </c>
      <c r="E57" s="197">
        <v>46167</v>
      </c>
      <c r="F57" s="199" t="s">
        <v>149</v>
      </c>
      <c r="G57" s="199">
        <v>44.01</v>
      </c>
      <c r="H57" s="216" t="s">
        <v>480</v>
      </c>
    </row>
    <row r="58" spans="2:10" ht="22.5" customHeight="1">
      <c r="B58" s="294" t="s">
        <v>588</v>
      </c>
      <c r="C58" s="195" t="s">
        <v>581</v>
      </c>
      <c r="D58" s="196">
        <v>46163</v>
      </c>
      <c r="E58" s="197">
        <v>46163</v>
      </c>
      <c r="F58" s="199" t="s">
        <v>149</v>
      </c>
      <c r="G58" s="199">
        <v>153.86000000000001</v>
      </c>
      <c r="H58" s="216" t="s">
        <v>480</v>
      </c>
    </row>
    <row r="59" spans="2:10" ht="22.5" customHeight="1">
      <c r="B59" s="294" t="s">
        <v>587</v>
      </c>
      <c r="C59" s="195" t="s">
        <v>582</v>
      </c>
      <c r="D59" s="196">
        <v>46163</v>
      </c>
      <c r="E59" s="197">
        <v>46163</v>
      </c>
      <c r="F59" s="176" t="s">
        <v>149</v>
      </c>
      <c r="G59" s="176">
        <v>65.89</v>
      </c>
      <c r="H59" s="216" t="s">
        <v>480</v>
      </c>
    </row>
    <row r="60" spans="2:10" ht="22.5" customHeight="1">
      <c r="B60" s="294" t="s">
        <v>586</v>
      </c>
      <c r="C60" s="195" t="s">
        <v>583</v>
      </c>
      <c r="D60" s="196">
        <v>46163</v>
      </c>
      <c r="E60" s="197">
        <v>46167</v>
      </c>
      <c r="F60" s="176" t="s">
        <v>149</v>
      </c>
      <c r="G60" s="176">
        <v>87.23</v>
      </c>
      <c r="H60" s="216" t="s">
        <v>480</v>
      </c>
    </row>
    <row r="61" spans="2:10" ht="22.5" customHeight="1">
      <c r="B61" s="294" t="s">
        <v>585</v>
      </c>
      <c r="C61" s="195" t="s">
        <v>584</v>
      </c>
      <c r="D61" s="196">
        <v>46164</v>
      </c>
      <c r="E61" s="197">
        <v>46164</v>
      </c>
      <c r="F61" s="176" t="s">
        <v>149</v>
      </c>
      <c r="G61" s="176">
        <v>137.61000000000001</v>
      </c>
      <c r="H61" s="216" t="s">
        <v>480</v>
      </c>
    </row>
    <row r="62" spans="2:10" ht="22.5" customHeight="1">
      <c r="B62" s="167"/>
      <c r="C62" s="167"/>
      <c r="D62" s="173"/>
      <c r="E62" s="159"/>
      <c r="F62" s="175"/>
      <c r="G62" s="176"/>
      <c r="H62" s="175"/>
    </row>
    <row r="63" spans="2:10" ht="22.5" customHeight="1">
      <c r="B63" s="95"/>
      <c r="C63" s="96"/>
      <c r="D63" s="97"/>
      <c r="E63" s="98"/>
      <c r="F63" s="99"/>
      <c r="G63" s="100"/>
      <c r="H63" s="99"/>
    </row>
    <row r="64" spans="2:10" ht="22.5" customHeight="1">
      <c r="B64" s="107" t="s">
        <v>458</v>
      </c>
      <c r="C64" s="107" t="s">
        <v>459</v>
      </c>
      <c r="D64" s="107" t="s">
        <v>460</v>
      </c>
      <c r="J64" s="109"/>
    </row>
    <row r="65" spans="2:4" ht="22.5" customHeight="1">
      <c r="B65" s="115" t="s">
        <v>470</v>
      </c>
      <c r="C65" s="113">
        <f>SUMIF(H10:H34,"IRIS",F10:F34)+SUMIF(H41:H62,"iris",G41:G62)</f>
        <v>6238.99</v>
      </c>
      <c r="D65" s="114">
        <f t="shared" ref="D65" si="0">C65*20%</f>
        <v>1247.798</v>
      </c>
    </row>
    <row r="66" spans="2:4" ht="22.5" customHeight="1">
      <c r="B66" s="115" t="s">
        <v>481</v>
      </c>
      <c r="C66" s="113">
        <f>SUMIF(H10:H34,"LUIZA",F10:F34)+SUMIF(H41:H62,"LUIZA",G41:G62)</f>
        <v>3223.2600000000007</v>
      </c>
      <c r="D66" s="114">
        <f t="shared" ref="D66" si="1">C66*20%</f>
        <v>644.65200000000016</v>
      </c>
    </row>
  </sheetData>
  <mergeCells count="6">
    <mergeCell ref="B38:H38"/>
    <mergeCell ref="B1:D3"/>
    <mergeCell ref="G1:J4"/>
    <mergeCell ref="B5:G5"/>
    <mergeCell ref="H5:J5"/>
    <mergeCell ref="H7:I7"/>
  </mergeCells>
  <phoneticPr fontId="27" type="noConversion"/>
  <dataValidations disablePrompts="1" count="3">
    <dataValidation type="list" allowBlank="1" showErrorMessage="1" sqref="H39 H35:H37" xr:uid="{E32C543C-451C-46E7-AC4A-CB4FCE8D5C8C}">
      <formula1>"PIX,CRÉDITO,BOLETO,ESPÉCIE"</formula1>
    </dataValidation>
    <dataValidation type="list" allowBlank="1" showErrorMessage="1" sqref="I35:I39" xr:uid="{809F5AED-B529-4A28-9BEF-C9C6833E2BAD}">
      <formula1>"GRAZI,CARLOS,Colaborador"</formula1>
    </dataValidation>
    <dataValidation type="list" allowBlank="1" showErrorMessage="1" sqref="H34" xr:uid="{5C48CD9B-77A2-44F3-AAC5-A5E68A05D361}">
      <formula1>"Iris"</formula1>
    </dataValidation>
  </dataValidations>
  <printOptions horizontalCentered="1" gridLines="1"/>
  <pageMargins left="0.7" right="0.7" top="0.75" bottom="0.75" header="0" footer="0"/>
  <pageSetup paperSize="9" scale="58" fitToHeight="0" pageOrder="overThenDown" orientation="landscape" cellComments="atEnd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38CF-5D2E-4348-B9FA-B0AE836FF1B3}">
  <sheetPr>
    <pageSetUpPr fitToPage="1"/>
  </sheetPr>
  <dimension ref="B1:J17"/>
  <sheetViews>
    <sheetView showGridLines="0" zoomScaleNormal="100" workbookViewId="0">
      <selection activeCell="B11" sqref="B11"/>
    </sheetView>
  </sheetViews>
  <sheetFormatPr defaultColWidth="12.5703125" defaultRowHeight="22.5" customHeight="1"/>
  <cols>
    <col min="1" max="1" width="4.28515625" style="108" customWidth="1"/>
    <col min="2" max="2" width="47" style="108" bestFit="1" customWidth="1"/>
    <col min="3" max="3" width="16.7109375" style="108" customWidth="1"/>
    <col min="4" max="4" width="17.85546875" style="108" customWidth="1"/>
    <col min="5" max="5" width="30.85546875" style="108" customWidth="1"/>
    <col min="6" max="6" width="15.85546875" style="93" customWidth="1"/>
    <col min="7" max="7" width="13.140625" style="93" customWidth="1"/>
    <col min="8" max="8" width="20.7109375" style="108" customWidth="1"/>
    <col min="9" max="9" width="25.7109375" style="122" customWidth="1"/>
    <col min="10" max="10" width="17.7109375" style="109" customWidth="1"/>
    <col min="11" max="16" width="20.85546875" style="108" customWidth="1"/>
    <col min="17" max="16384" width="12.5703125" style="108"/>
  </cols>
  <sheetData>
    <row r="1" spans="2:10" ht="22.5" customHeight="1">
      <c r="B1" s="264" t="s">
        <v>610</v>
      </c>
      <c r="C1" s="264"/>
      <c r="D1" s="264"/>
      <c r="E1" s="90"/>
      <c r="F1" s="274" t="e" vm="1">
        <v>#VALUE!</v>
      </c>
      <c r="G1" s="271"/>
      <c r="H1" s="271"/>
      <c r="I1" s="271"/>
      <c r="J1" s="271"/>
    </row>
    <row r="2" spans="2:10" ht="22.5" customHeight="1">
      <c r="B2" s="264"/>
      <c r="C2" s="264"/>
      <c r="D2" s="264"/>
      <c r="E2" s="90"/>
      <c r="F2" s="271"/>
      <c r="G2" s="271"/>
      <c r="H2" s="271"/>
      <c r="I2" s="271"/>
      <c r="J2" s="271"/>
    </row>
    <row r="3" spans="2:10" ht="22.5" customHeight="1">
      <c r="B3" s="264"/>
      <c r="C3" s="264"/>
      <c r="D3" s="264"/>
      <c r="E3" s="90"/>
      <c r="F3" s="271"/>
      <c r="G3" s="271"/>
      <c r="H3" s="271"/>
      <c r="I3" s="271"/>
      <c r="J3" s="271"/>
    </row>
    <row r="4" spans="2:10" ht="22.5" customHeight="1">
      <c r="B4" s="264"/>
      <c r="C4" s="264"/>
      <c r="D4" s="264"/>
      <c r="E4" s="90"/>
      <c r="F4" s="271"/>
      <c r="G4" s="271"/>
      <c r="H4" s="271"/>
      <c r="I4" s="271"/>
      <c r="J4" s="271"/>
    </row>
    <row r="5" spans="2:10" ht="10.5" customHeight="1">
      <c r="B5" s="102"/>
      <c r="C5" s="102"/>
      <c r="D5" s="102"/>
      <c r="E5" s="90"/>
      <c r="J5" s="108"/>
    </row>
    <row r="6" spans="2:10" ht="15.75">
      <c r="B6" s="270" t="s">
        <v>611</v>
      </c>
      <c r="C6" s="271"/>
      <c r="D6" s="271"/>
      <c r="E6" s="271"/>
      <c r="F6" s="267" t="s">
        <v>457</v>
      </c>
      <c r="G6" s="271"/>
      <c r="H6" s="271"/>
      <c r="I6" s="271"/>
      <c r="J6" s="271"/>
    </row>
    <row r="7" spans="2:10" ht="15" customHeight="1">
      <c r="B7" s="90"/>
      <c r="C7" s="90"/>
      <c r="D7" s="90"/>
      <c r="E7" s="90"/>
      <c r="F7" s="90"/>
      <c r="G7" s="90"/>
      <c r="H7" s="90"/>
      <c r="I7" s="129"/>
      <c r="J7" s="90"/>
    </row>
    <row r="8" spans="2:10" ht="18.75" customHeight="1">
      <c r="B8" s="139" t="s">
        <v>454</v>
      </c>
      <c r="C8" s="140">
        <f>COUNTIF(F11:F12, "&lt;&gt;")</f>
        <v>1</v>
      </c>
      <c r="D8" s="141"/>
      <c r="E8" s="142" t="s">
        <v>455</v>
      </c>
      <c r="F8" s="143">
        <f>SUM(F11:F12)</f>
        <v>130</v>
      </c>
      <c r="G8" s="94"/>
      <c r="H8" s="272" t="s">
        <v>456</v>
      </c>
      <c r="I8" s="273"/>
      <c r="J8" s="144">
        <f>SUM(G11:G12)</f>
        <v>87.21</v>
      </c>
    </row>
    <row r="9" spans="2:10" ht="15" customHeight="1">
      <c r="B9" s="90"/>
      <c r="C9" s="90"/>
      <c r="D9" s="90"/>
      <c r="E9" s="90"/>
      <c r="F9" s="90"/>
      <c r="G9" s="90"/>
      <c r="H9" s="90"/>
      <c r="I9" s="129"/>
      <c r="J9" s="90"/>
    </row>
    <row r="10" spans="2:10" ht="22.5" customHeight="1">
      <c r="B10" s="163" t="s">
        <v>0</v>
      </c>
      <c r="C10" s="203" t="s">
        <v>2</v>
      </c>
      <c r="D10" s="163" t="s">
        <v>461</v>
      </c>
      <c r="E10" s="163" t="s">
        <v>462</v>
      </c>
      <c r="F10" s="164" t="s">
        <v>4</v>
      </c>
      <c r="G10" s="178" t="s">
        <v>5</v>
      </c>
      <c r="H10" s="163" t="s">
        <v>147</v>
      </c>
      <c r="I10" s="204" t="s">
        <v>467</v>
      </c>
      <c r="J10" s="130" t="s">
        <v>463</v>
      </c>
    </row>
    <row r="11" spans="2:10" ht="22.5" customHeight="1">
      <c r="B11" s="195" t="s">
        <v>606</v>
      </c>
      <c r="C11" s="195" t="s">
        <v>607</v>
      </c>
      <c r="D11" s="196">
        <v>46146</v>
      </c>
      <c r="E11" s="195" t="s">
        <v>608</v>
      </c>
      <c r="F11" s="237">
        <v>130</v>
      </c>
      <c r="G11" s="237">
        <v>87.21</v>
      </c>
      <c r="H11" s="195" t="s">
        <v>484</v>
      </c>
      <c r="I11" s="200" t="s">
        <v>609</v>
      </c>
      <c r="J11" s="202">
        <v>2</v>
      </c>
    </row>
    <row r="12" spans="2:10" ht="22.5" customHeight="1">
      <c r="B12" s="131"/>
      <c r="C12" s="132"/>
      <c r="D12" s="133"/>
      <c r="E12" s="134"/>
      <c r="F12" s="135"/>
      <c r="G12" s="135"/>
      <c r="H12" s="134"/>
      <c r="I12" s="136"/>
      <c r="J12" s="137"/>
    </row>
    <row r="13" spans="2:10" ht="22.5" customHeight="1">
      <c r="B13" s="103"/>
      <c r="C13" s="104"/>
      <c r="D13" s="94"/>
      <c r="E13" s="94"/>
      <c r="F13" s="105"/>
      <c r="G13" s="105"/>
      <c r="H13" s="94"/>
      <c r="J13" s="106"/>
    </row>
    <row r="15" spans="2:10" ht="22.5" customHeight="1">
      <c r="B15" s="107" t="s">
        <v>458</v>
      </c>
      <c r="C15" s="107" t="s">
        <v>459</v>
      </c>
      <c r="D15" s="107" t="s">
        <v>460</v>
      </c>
    </row>
    <row r="16" spans="2:10" ht="22.5" customHeight="1">
      <c r="B16" s="115" t="s">
        <v>471</v>
      </c>
      <c r="C16" s="116">
        <f>SUMIF(H11:H12, "ARIELLE", F11:F12)</f>
        <v>130</v>
      </c>
      <c r="D16" s="117">
        <f t="shared" ref="D16" si="0">C16*20%</f>
        <v>26</v>
      </c>
      <c r="J16" s="108"/>
    </row>
    <row r="17" spans="2:8" ht="22.5" customHeight="1">
      <c r="B17" s="93"/>
      <c r="C17" s="110"/>
      <c r="D17" s="110"/>
      <c r="H17" s="111"/>
    </row>
  </sheetData>
  <mergeCells count="5">
    <mergeCell ref="B6:E6"/>
    <mergeCell ref="F6:J6"/>
    <mergeCell ref="H8:I8"/>
    <mergeCell ref="F1:J4"/>
    <mergeCell ref="B1:D4"/>
  </mergeCells>
  <dataValidations count="3">
    <dataValidation type="list" allowBlank="1" showErrorMessage="1" sqref="I13" xr:uid="{DF3E78D9-18EF-4998-8C3A-A3833A6D6D18}">
      <formula1>"AIANNY,CAMILA"</formula1>
    </dataValidation>
    <dataValidation type="list" allowBlank="1" showErrorMessage="1" sqref="I12" xr:uid="{D80BA161-5ACA-4A9C-90D3-46170C46E121}">
      <formula1>"GABRIELY"</formula1>
    </dataValidation>
    <dataValidation type="list" allowBlank="1" showErrorMessage="1" sqref="H12:H13" xr:uid="{87EFA2A6-4E8A-42B8-BDDB-B912B77ECE58}">
      <formula1>"CRÉDITO,DÉBITO,PIX,PIX E ESPÉCIE,ESPÉCIE"</formula1>
    </dataValidation>
  </dataValidations>
  <pageMargins left="0.511811024" right="0.511811024" top="0.78740157499999996" bottom="0.78740157499999996" header="0.31496062000000002" footer="0.31496062000000002"/>
  <pageSetup paperSize="9" scale="54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29AF-0AFB-487A-8287-B24423A5B201}">
  <dimension ref="A1:J18"/>
  <sheetViews>
    <sheetView showGridLines="0" workbookViewId="0">
      <selection activeCell="E3" sqref="E3"/>
    </sheetView>
  </sheetViews>
  <sheetFormatPr defaultColWidth="12.5703125" defaultRowHeight="22.5" customHeight="1"/>
  <cols>
    <col min="1" max="1" width="4.28515625" style="93" customWidth="1"/>
    <col min="2" max="2" width="42.7109375" style="93" bestFit="1" customWidth="1"/>
    <col min="3" max="3" width="16.7109375" style="93" customWidth="1"/>
    <col min="4" max="4" width="15.7109375" style="93" customWidth="1"/>
    <col min="5" max="5" width="30.85546875" style="93" customWidth="1"/>
    <col min="6" max="6" width="14.28515625" style="93" customWidth="1"/>
    <col min="7" max="7" width="13.140625" style="93" customWidth="1"/>
    <col min="8" max="8" width="17.7109375" style="93" customWidth="1"/>
    <col min="9" max="9" width="25.7109375" style="93" customWidth="1"/>
    <col min="10" max="10" width="17.7109375" style="93" customWidth="1"/>
    <col min="11" max="16" width="20.85546875" style="93" customWidth="1"/>
    <col min="17" max="16384" width="12.5703125" style="93"/>
  </cols>
  <sheetData>
    <row r="1" spans="1:10" ht="22.5" customHeight="1">
      <c r="B1" s="239" t="s">
        <v>619</v>
      </c>
      <c r="C1" s="239"/>
      <c r="D1" s="239"/>
      <c r="E1" s="149"/>
      <c r="F1" s="240" t="e" vm="1">
        <v>#VALUE!</v>
      </c>
      <c r="G1" s="240"/>
      <c r="H1" s="240"/>
      <c r="I1" s="240"/>
      <c r="J1" s="240"/>
    </row>
    <row r="2" spans="1:10" ht="22.5" customHeight="1">
      <c r="B2" s="239"/>
      <c r="C2" s="239"/>
      <c r="D2" s="239"/>
      <c r="E2" s="149"/>
      <c r="F2" s="240"/>
      <c r="G2" s="240"/>
      <c r="H2" s="240"/>
      <c r="I2" s="240"/>
      <c r="J2" s="240"/>
    </row>
    <row r="3" spans="1:10" ht="22.5" customHeight="1">
      <c r="B3" s="239"/>
      <c r="C3" s="239"/>
      <c r="D3" s="239"/>
      <c r="E3" s="149"/>
      <c r="F3" s="240"/>
      <c r="G3" s="240"/>
      <c r="H3" s="240"/>
      <c r="I3" s="240"/>
      <c r="J3" s="240"/>
    </row>
    <row r="4" spans="1:10" ht="22.5" customHeight="1">
      <c r="B4" s="239"/>
      <c r="C4" s="239"/>
      <c r="D4" s="239"/>
      <c r="F4" s="240"/>
      <c r="G4" s="240"/>
      <c r="H4" s="240"/>
      <c r="I4" s="240"/>
      <c r="J4" s="240"/>
    </row>
    <row r="5" spans="1:10" ht="10.5" customHeight="1">
      <c r="B5" s="148"/>
      <c r="C5" s="148"/>
      <c r="D5" s="148"/>
      <c r="F5" s="149"/>
      <c r="G5" s="149"/>
      <c r="H5" s="149"/>
      <c r="I5" s="149"/>
      <c r="J5" s="149"/>
    </row>
    <row r="6" spans="1:10" ht="15" customHeight="1">
      <c r="B6" s="241" t="s">
        <v>488</v>
      </c>
      <c r="C6" s="242"/>
      <c r="D6" s="242"/>
      <c r="E6" s="242"/>
      <c r="F6" s="242"/>
      <c r="G6" s="242"/>
      <c r="H6" s="243" t="s">
        <v>476</v>
      </c>
      <c r="I6" s="244"/>
      <c r="J6" s="244"/>
    </row>
    <row r="7" spans="1:10" ht="15" customHeight="1">
      <c r="B7" s="150"/>
      <c r="H7" s="150"/>
    </row>
    <row r="8" spans="1:10" ht="18.75" customHeight="1">
      <c r="A8" s="151"/>
      <c r="B8" s="152" t="s">
        <v>448</v>
      </c>
      <c r="C8" s="153">
        <f>COUNTA(C11:C14)</f>
        <v>3</v>
      </c>
      <c r="D8" s="154"/>
      <c r="E8" s="152" t="s">
        <v>455</v>
      </c>
      <c r="F8" s="155">
        <f>SUM(F11:F14)</f>
        <v>950</v>
      </c>
      <c r="G8" s="156"/>
      <c r="H8" s="245" t="s">
        <v>456</v>
      </c>
      <c r="I8" s="245"/>
      <c r="J8" s="157">
        <f>SUM(G11:G14)</f>
        <v>266.13</v>
      </c>
    </row>
    <row r="9" spans="1:10" ht="15" customHeight="1">
      <c r="B9" s="150"/>
      <c r="C9" s="150"/>
      <c r="D9" s="150"/>
      <c r="E9" s="150"/>
      <c r="F9" s="150"/>
      <c r="G9" s="150"/>
    </row>
    <row r="10" spans="1:10" ht="22.5" customHeight="1">
      <c r="B10" s="120" t="s">
        <v>0</v>
      </c>
      <c r="C10" s="158" t="s">
        <v>2</v>
      </c>
      <c r="D10" s="120" t="s">
        <v>461</v>
      </c>
      <c r="E10" s="120" t="s">
        <v>3</v>
      </c>
      <c r="F10" s="121" t="s">
        <v>4</v>
      </c>
      <c r="G10" s="121" t="s">
        <v>5</v>
      </c>
      <c r="H10" s="120" t="s">
        <v>466</v>
      </c>
      <c r="I10" s="120" t="s">
        <v>7</v>
      </c>
      <c r="J10" s="120" t="s">
        <v>463</v>
      </c>
    </row>
    <row r="11" spans="1:10" ht="22.5" customHeight="1">
      <c r="B11" s="228" t="s">
        <v>612</v>
      </c>
      <c r="C11" s="228" t="s">
        <v>613</v>
      </c>
      <c r="D11" s="229">
        <v>46161</v>
      </c>
      <c r="E11" s="186" t="s">
        <v>614</v>
      </c>
      <c r="F11" s="187">
        <v>400</v>
      </c>
      <c r="G11" s="188">
        <v>74.61</v>
      </c>
      <c r="H11" s="186" t="s">
        <v>469</v>
      </c>
      <c r="I11" s="230" t="s">
        <v>486</v>
      </c>
      <c r="J11" s="222" t="b">
        <v>1</v>
      </c>
    </row>
    <row r="12" spans="1:10" ht="22.5" customHeight="1">
      <c r="B12" s="185" t="s">
        <v>615</v>
      </c>
      <c r="C12" s="228" t="s">
        <v>616</v>
      </c>
      <c r="D12" s="159">
        <v>46169</v>
      </c>
      <c r="E12" s="186" t="s">
        <v>614</v>
      </c>
      <c r="F12" s="187">
        <v>350</v>
      </c>
      <c r="G12" s="231">
        <v>102.51</v>
      </c>
      <c r="H12" s="186" t="s">
        <v>469</v>
      </c>
      <c r="I12" s="230" t="s">
        <v>486</v>
      </c>
      <c r="J12" s="222" t="b">
        <v>1</v>
      </c>
    </row>
    <row r="13" spans="1:10" ht="22.5" customHeight="1">
      <c r="B13" s="228" t="s">
        <v>617</v>
      </c>
      <c r="C13" s="232" t="s">
        <v>618</v>
      </c>
      <c r="D13" s="159">
        <v>46170</v>
      </c>
      <c r="E13" s="186" t="s">
        <v>614</v>
      </c>
      <c r="F13" s="187">
        <v>200</v>
      </c>
      <c r="G13" s="187">
        <v>89.01</v>
      </c>
      <c r="H13" s="186" t="s">
        <v>469</v>
      </c>
      <c r="I13" s="230" t="s">
        <v>486</v>
      </c>
      <c r="J13" s="222" t="b">
        <v>1</v>
      </c>
    </row>
    <row r="14" spans="1:10" ht="22.5" customHeight="1">
      <c r="B14" s="223"/>
      <c r="C14" s="224"/>
      <c r="D14" s="225"/>
      <c r="E14" s="205"/>
      <c r="F14" s="208"/>
      <c r="G14" s="226"/>
      <c r="H14" s="205"/>
      <c r="I14" s="227"/>
      <c r="J14" s="181"/>
    </row>
    <row r="17" spans="2:4" ht="22.5" customHeight="1">
      <c r="B17" s="107" t="s">
        <v>465</v>
      </c>
      <c r="C17" s="107" t="s">
        <v>459</v>
      </c>
      <c r="D17" s="107" t="s">
        <v>460</v>
      </c>
    </row>
    <row r="18" spans="2:4" ht="22.5" customHeight="1">
      <c r="B18" s="115" t="s">
        <v>469</v>
      </c>
      <c r="C18" s="146">
        <f>SUMIF(H11:H14, "CAMILA", F11:F14)</f>
        <v>950</v>
      </c>
      <c r="D18" s="147">
        <f>C18*20%</f>
        <v>190</v>
      </c>
    </row>
  </sheetData>
  <mergeCells count="5">
    <mergeCell ref="B1:D4"/>
    <mergeCell ref="F1:J4"/>
    <mergeCell ref="B6:G6"/>
    <mergeCell ref="H6:J6"/>
    <mergeCell ref="H8:I8"/>
  </mergeCells>
  <dataValidations disablePrompts="1" count="1">
    <dataValidation type="list" allowBlank="1" showErrorMessage="1" sqref="H14" xr:uid="{8A969395-A346-441C-A66E-D5B40A1B4767}">
      <formula1>"CAMILA"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C7FD-360E-4306-AD60-811F376D4E40}">
  <dimension ref="A1:J19"/>
  <sheetViews>
    <sheetView showGridLines="0" workbookViewId="0">
      <selection activeCell="E3" sqref="E3"/>
    </sheetView>
  </sheetViews>
  <sheetFormatPr defaultColWidth="12.5703125" defaultRowHeight="22.5" customHeight="1"/>
  <cols>
    <col min="1" max="1" width="4.28515625" style="108" customWidth="1"/>
    <col min="2" max="2" width="45" style="108" customWidth="1"/>
    <col min="3" max="3" width="16.7109375" style="108" customWidth="1"/>
    <col min="4" max="4" width="14.28515625" style="108" customWidth="1"/>
    <col min="5" max="5" width="30.85546875" style="108" customWidth="1"/>
    <col min="6" max="6" width="14.85546875" style="108" customWidth="1"/>
    <col min="7" max="7" width="13.140625" style="108" customWidth="1"/>
    <col min="8" max="8" width="17.7109375" style="108" customWidth="1"/>
    <col min="9" max="9" width="25.7109375" style="108" customWidth="1"/>
    <col min="10" max="10" width="17.7109375" style="109" customWidth="1"/>
    <col min="11" max="16" width="20.85546875" style="108" customWidth="1"/>
    <col min="17" max="16384" width="12.5703125" style="108"/>
  </cols>
  <sheetData>
    <row r="1" spans="1:10" s="108" customFormat="1" ht="22.5" customHeight="1">
      <c r="B1" s="239" t="s">
        <v>632</v>
      </c>
      <c r="C1" s="239"/>
      <c r="D1" s="239"/>
      <c r="E1" s="149"/>
      <c r="F1" s="240" t="e" vm="1">
        <v>#VALUE!</v>
      </c>
      <c r="G1" s="240"/>
      <c r="H1" s="240"/>
      <c r="I1" s="240"/>
      <c r="J1" s="240"/>
    </row>
    <row r="2" spans="1:10" s="108" customFormat="1" ht="22.5" customHeight="1">
      <c r="B2" s="239"/>
      <c r="C2" s="239"/>
      <c r="D2" s="239"/>
      <c r="E2" s="149"/>
      <c r="F2" s="240"/>
      <c r="G2" s="240"/>
      <c r="H2" s="240"/>
      <c r="I2" s="240"/>
      <c r="J2" s="240"/>
    </row>
    <row r="3" spans="1:10" s="108" customFormat="1" ht="22.5" customHeight="1">
      <c r="B3" s="239"/>
      <c r="C3" s="239"/>
      <c r="D3" s="239"/>
      <c r="E3" s="149"/>
      <c r="F3" s="240"/>
      <c r="G3" s="240"/>
      <c r="H3" s="240"/>
      <c r="I3" s="240"/>
      <c r="J3" s="240"/>
    </row>
    <row r="4" spans="1:10" s="108" customFormat="1" ht="22.5" customHeight="1">
      <c r="B4" s="239"/>
      <c r="C4" s="239"/>
      <c r="D4" s="239"/>
      <c r="F4" s="240"/>
      <c r="G4" s="240"/>
      <c r="H4" s="240"/>
      <c r="I4" s="240"/>
      <c r="J4" s="240"/>
    </row>
    <row r="5" spans="1:10" s="108" customFormat="1" ht="10.5" customHeight="1">
      <c r="B5" s="148"/>
      <c r="C5" s="148"/>
      <c r="D5" s="148"/>
      <c r="F5" s="149"/>
      <c r="G5" s="149"/>
      <c r="H5" s="149"/>
      <c r="I5" s="149"/>
      <c r="J5" s="149"/>
    </row>
    <row r="6" spans="1:10" s="108" customFormat="1" ht="15" customHeight="1">
      <c r="B6" s="296" t="s">
        <v>478</v>
      </c>
      <c r="C6" s="271"/>
      <c r="D6" s="271"/>
      <c r="E6" s="271"/>
      <c r="F6" s="271"/>
      <c r="G6" s="271"/>
      <c r="H6" s="243" t="s">
        <v>475</v>
      </c>
      <c r="I6" s="244"/>
      <c r="J6" s="244"/>
    </row>
    <row r="7" spans="1:10" s="108" customFormat="1" ht="15" customHeight="1">
      <c r="B7" s="297"/>
      <c r="H7" s="297"/>
    </row>
    <row r="8" spans="1:10" s="108" customFormat="1" ht="18.75" customHeight="1">
      <c r="A8" s="298"/>
      <c r="B8" s="152" t="s">
        <v>448</v>
      </c>
      <c r="C8" s="153">
        <f>COUNTA(C11:C15)</f>
        <v>4</v>
      </c>
      <c r="D8" s="299"/>
      <c r="E8" s="152" t="s">
        <v>455</v>
      </c>
      <c r="F8" s="300">
        <f>SUM(F11:F15)</f>
        <v>3840</v>
      </c>
      <c r="G8" s="301"/>
      <c r="H8" s="245" t="s">
        <v>456</v>
      </c>
      <c r="I8" s="245"/>
      <c r="J8" s="302">
        <f>SUM(G11:G15)</f>
        <v>1790.59</v>
      </c>
    </row>
    <row r="9" spans="1:10" s="108" customFormat="1" ht="15" customHeight="1">
      <c r="B9" s="297"/>
      <c r="C9" s="297"/>
      <c r="D9" s="297"/>
      <c r="E9" s="297"/>
      <c r="F9" s="297"/>
      <c r="G9" s="297"/>
    </row>
    <row r="10" spans="1:10" s="108" customFormat="1" ht="22.5" customHeight="1">
      <c r="B10" s="120" t="s">
        <v>0</v>
      </c>
      <c r="C10" s="123" t="s">
        <v>2</v>
      </c>
      <c r="D10" s="120" t="s">
        <v>461</v>
      </c>
      <c r="E10" s="120" t="s">
        <v>462</v>
      </c>
      <c r="F10" s="179" t="s">
        <v>4</v>
      </c>
      <c r="G10" s="178" t="s">
        <v>5</v>
      </c>
      <c r="H10" s="145" t="s">
        <v>147</v>
      </c>
      <c r="I10" s="120" t="s">
        <v>467</v>
      </c>
      <c r="J10" s="120" t="s">
        <v>463</v>
      </c>
    </row>
    <row r="11" spans="1:10" s="108" customFormat="1" ht="22.5" customHeight="1">
      <c r="B11" s="192" t="s">
        <v>620</v>
      </c>
      <c r="C11" s="211" t="s">
        <v>621</v>
      </c>
      <c r="D11" s="212">
        <v>46147</v>
      </c>
      <c r="E11" s="210" t="s">
        <v>485</v>
      </c>
      <c r="F11" s="213">
        <v>480</v>
      </c>
      <c r="G11" s="221">
        <v>267.89999999999998</v>
      </c>
      <c r="H11" s="174" t="s">
        <v>477</v>
      </c>
      <c r="I11" s="201" t="s">
        <v>622</v>
      </c>
      <c r="J11" s="180" t="b">
        <v>1</v>
      </c>
    </row>
    <row r="12" spans="1:10" s="108" customFormat="1" ht="22.5" customHeight="1">
      <c r="B12" s="192" t="s">
        <v>623</v>
      </c>
      <c r="C12" s="214" t="s">
        <v>624</v>
      </c>
      <c r="D12" s="215">
        <v>46153</v>
      </c>
      <c r="E12" s="216" t="s">
        <v>485</v>
      </c>
      <c r="F12" s="217">
        <v>1100</v>
      </c>
      <c r="G12" s="217">
        <v>400</v>
      </c>
      <c r="H12" s="174" t="s">
        <v>477</v>
      </c>
      <c r="I12" s="201" t="s">
        <v>625</v>
      </c>
      <c r="J12" s="180" t="b">
        <v>1</v>
      </c>
    </row>
    <row r="13" spans="1:10" s="108" customFormat="1" ht="22.5" customHeight="1">
      <c r="B13" s="183" t="s">
        <v>626</v>
      </c>
      <c r="C13" s="216" t="s">
        <v>627</v>
      </c>
      <c r="D13" s="218">
        <v>46162</v>
      </c>
      <c r="E13" s="210" t="s">
        <v>485</v>
      </c>
      <c r="F13" s="217">
        <v>500</v>
      </c>
      <c r="G13" s="213">
        <v>310.17</v>
      </c>
      <c r="H13" s="174" t="s">
        <v>477</v>
      </c>
      <c r="I13" s="201" t="s">
        <v>628</v>
      </c>
      <c r="J13" s="180" t="b">
        <v>1</v>
      </c>
    </row>
    <row r="14" spans="1:10" s="108" customFormat="1" ht="22.5" customHeight="1">
      <c r="B14" s="183" t="s">
        <v>629</v>
      </c>
      <c r="C14" s="219" t="s">
        <v>630</v>
      </c>
      <c r="D14" s="220">
        <v>46164</v>
      </c>
      <c r="E14" s="216" t="s">
        <v>485</v>
      </c>
      <c r="F14" s="213">
        <v>1760</v>
      </c>
      <c r="G14" s="217">
        <v>812.52</v>
      </c>
      <c r="H14" s="174" t="s">
        <v>477</v>
      </c>
      <c r="I14" s="201" t="s">
        <v>631</v>
      </c>
      <c r="J14" s="180" t="b">
        <v>1</v>
      </c>
    </row>
    <row r="15" spans="1:10" s="108" customFormat="1" ht="22.5" customHeight="1">
      <c r="B15" s="205"/>
      <c r="C15" s="206"/>
      <c r="D15" s="207"/>
      <c r="E15" s="205"/>
      <c r="F15" s="208"/>
      <c r="G15" s="208"/>
      <c r="H15" s="205"/>
      <c r="I15" s="209"/>
      <c r="J15" s="205"/>
    </row>
    <row r="18" spans="2:10" s="108" customFormat="1" ht="22.5" customHeight="1">
      <c r="B18" s="107" t="s">
        <v>458</v>
      </c>
      <c r="C18" s="107" t="s">
        <v>459</v>
      </c>
      <c r="D18" s="107" t="s">
        <v>460</v>
      </c>
      <c r="J18" s="109"/>
    </row>
    <row r="19" spans="2:10" s="108" customFormat="1" ht="22.5" customHeight="1">
      <c r="B19" s="115" t="s">
        <v>477</v>
      </c>
      <c r="C19" s="116">
        <f>SUMIF(H11:H15, "ANNA ALICE", F11:F15)</f>
        <v>3840</v>
      </c>
      <c r="D19" s="117">
        <f>C19*20%</f>
        <v>768</v>
      </c>
      <c r="J19" s="109"/>
    </row>
  </sheetData>
  <mergeCells count="5">
    <mergeCell ref="H8:I8"/>
    <mergeCell ref="B1:D4"/>
    <mergeCell ref="F1:J4"/>
    <mergeCell ref="B6:G6"/>
    <mergeCell ref="H6:J6"/>
  </mergeCells>
  <dataValidations disablePrompts="1" count="1">
    <dataValidation type="list" allowBlank="1" showErrorMessage="1" sqref="H15" xr:uid="{38C5610D-00C4-491F-93AA-E71293F2234A}">
      <formula1>"ANNA ALICE"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2153-5622-49A5-AABA-D35FFF495299}">
  <dimension ref="A1:J16"/>
  <sheetViews>
    <sheetView showGridLines="0" workbookViewId="0">
      <selection activeCell="H16" sqref="H16"/>
    </sheetView>
  </sheetViews>
  <sheetFormatPr defaultColWidth="12.5703125" defaultRowHeight="22.5" customHeight="1"/>
  <cols>
    <col min="1" max="1" width="4.28515625" style="72" customWidth="1"/>
    <col min="2" max="2" width="45" style="72" customWidth="1"/>
    <col min="3" max="3" width="16.7109375" style="72" customWidth="1"/>
    <col min="4" max="4" width="14.28515625" style="72" customWidth="1"/>
    <col min="5" max="5" width="30.85546875" style="72" customWidth="1"/>
    <col min="6" max="6" width="14.85546875" style="72" customWidth="1"/>
    <col min="7" max="7" width="13.140625" style="72" customWidth="1"/>
    <col min="8" max="8" width="17.7109375" style="72" customWidth="1"/>
    <col min="9" max="9" width="25.7109375" style="72" customWidth="1"/>
    <col min="10" max="10" width="17.7109375" style="79" customWidth="1"/>
    <col min="11" max="16" width="20.85546875" style="72" customWidth="1"/>
    <col min="17" max="16384" width="12.5703125" style="72"/>
  </cols>
  <sheetData>
    <row r="1" spans="1:10" ht="22.5" customHeight="1">
      <c r="B1" s="276" t="s">
        <v>633</v>
      </c>
      <c r="C1" s="276"/>
      <c r="D1" s="276"/>
      <c r="E1" s="74"/>
      <c r="F1" s="277" t="e" vm="1">
        <v>#VALUE!</v>
      </c>
      <c r="G1" s="277"/>
      <c r="H1" s="277"/>
      <c r="I1" s="277"/>
      <c r="J1" s="277"/>
    </row>
    <row r="2" spans="1:10" ht="22.5" customHeight="1">
      <c r="B2" s="276"/>
      <c r="C2" s="276"/>
      <c r="D2" s="276"/>
      <c r="E2" s="74"/>
      <c r="F2" s="277"/>
      <c r="G2" s="277"/>
      <c r="H2" s="277"/>
      <c r="I2" s="277"/>
      <c r="J2" s="277"/>
    </row>
    <row r="3" spans="1:10" ht="22.5" customHeight="1">
      <c r="B3" s="276"/>
      <c r="C3" s="276"/>
      <c r="D3" s="276"/>
      <c r="E3" s="74"/>
      <c r="F3" s="277"/>
      <c r="G3" s="277"/>
      <c r="H3" s="277"/>
      <c r="I3" s="277"/>
      <c r="J3" s="277"/>
    </row>
    <row r="4" spans="1:10" ht="22.5" customHeight="1">
      <c r="B4" s="276"/>
      <c r="C4" s="276"/>
      <c r="D4" s="276"/>
      <c r="F4" s="277"/>
      <c r="G4" s="277"/>
      <c r="H4" s="277"/>
      <c r="I4" s="277"/>
      <c r="J4" s="277"/>
    </row>
    <row r="5" spans="1:10" ht="10.5" customHeight="1">
      <c r="B5" s="73"/>
      <c r="C5" s="73"/>
      <c r="D5" s="73"/>
      <c r="F5" s="74"/>
      <c r="G5" s="74"/>
      <c r="H5" s="74"/>
      <c r="I5" s="74"/>
      <c r="J5" s="74"/>
    </row>
    <row r="6" spans="1:10" ht="15" customHeight="1">
      <c r="B6" s="278" t="s">
        <v>487</v>
      </c>
      <c r="C6" s="279"/>
      <c r="D6" s="279"/>
      <c r="E6" s="279"/>
      <c r="F6" s="279"/>
      <c r="G6" s="279"/>
      <c r="H6" s="280" t="s">
        <v>475</v>
      </c>
      <c r="I6" s="281"/>
      <c r="J6" s="281"/>
    </row>
    <row r="7" spans="1:10" ht="15" customHeight="1">
      <c r="B7" s="75"/>
      <c r="H7" s="75"/>
      <c r="J7" s="72"/>
    </row>
    <row r="8" spans="1:10" ht="18.75" customHeight="1">
      <c r="A8" s="76"/>
      <c r="B8" s="77" t="s">
        <v>448</v>
      </c>
      <c r="C8" s="92">
        <f>COUNTA(C11:C12)</f>
        <v>0</v>
      </c>
      <c r="D8" s="78"/>
      <c r="E8" s="77" t="s">
        <v>455</v>
      </c>
      <c r="F8" s="91">
        <f>SUM(F11:F12)</f>
        <v>0</v>
      </c>
      <c r="G8" s="82"/>
      <c r="H8" s="275" t="s">
        <v>456</v>
      </c>
      <c r="I8" s="275"/>
      <c r="J8" s="83">
        <f>SUM(G11:G12)</f>
        <v>0</v>
      </c>
    </row>
    <row r="9" spans="1:10" ht="15" customHeight="1">
      <c r="B9" s="75"/>
      <c r="C9" s="75"/>
      <c r="D9" s="75"/>
      <c r="E9" s="75"/>
      <c r="F9" s="75"/>
      <c r="G9" s="75"/>
      <c r="J9" s="72"/>
    </row>
    <row r="10" spans="1:10" ht="22.5" customHeight="1">
      <c r="B10" s="120" t="s">
        <v>0</v>
      </c>
      <c r="C10" s="123" t="s">
        <v>2</v>
      </c>
      <c r="D10" s="120" t="s">
        <v>461</v>
      </c>
      <c r="E10" s="120" t="s">
        <v>462</v>
      </c>
      <c r="F10" s="179" t="s">
        <v>4</v>
      </c>
      <c r="G10" s="178" t="s">
        <v>5</v>
      </c>
      <c r="H10" s="145" t="s">
        <v>147</v>
      </c>
      <c r="I10" s="120" t="s">
        <v>467</v>
      </c>
      <c r="J10" s="120" t="s">
        <v>463</v>
      </c>
    </row>
    <row r="11" spans="1:10" ht="22.5" customHeight="1">
      <c r="B11" s="233"/>
      <c r="C11" s="198"/>
      <c r="D11" s="234"/>
      <c r="E11" s="233"/>
      <c r="F11" s="235"/>
      <c r="G11" s="199"/>
      <c r="H11" s="198"/>
      <c r="I11" s="236"/>
      <c r="J11" s="184" t="b">
        <v>0</v>
      </c>
    </row>
    <row r="12" spans="1:10" ht="22.5" customHeight="1">
      <c r="B12" s="205"/>
      <c r="C12" s="206"/>
      <c r="D12" s="207"/>
      <c r="E12" s="205"/>
      <c r="F12" s="208"/>
      <c r="G12" s="208"/>
      <c r="H12" s="205"/>
      <c r="I12" s="209"/>
      <c r="J12" s="205"/>
    </row>
    <row r="15" spans="1:10" ht="22.5" customHeight="1">
      <c r="B15" s="107" t="s">
        <v>458</v>
      </c>
      <c r="C15" s="107" t="s">
        <v>459</v>
      </c>
      <c r="D15" s="107" t="s">
        <v>460</v>
      </c>
    </row>
    <row r="16" spans="1:10" ht="22.5" customHeight="1">
      <c r="B16" s="115" t="s">
        <v>477</v>
      </c>
      <c r="C16" s="116">
        <f>SUMIF(H11:H12, "YASMIN", F11:F12)</f>
        <v>0</v>
      </c>
      <c r="D16" s="117">
        <f>C16*20%</f>
        <v>0</v>
      </c>
    </row>
  </sheetData>
  <mergeCells count="5">
    <mergeCell ref="B1:D4"/>
    <mergeCell ref="F1:J4"/>
    <mergeCell ref="B6:G6"/>
    <mergeCell ref="H6:J6"/>
    <mergeCell ref="H8:I8"/>
  </mergeCells>
  <dataValidations count="1">
    <dataValidation type="list" allowBlank="1" showErrorMessage="1" sqref="H12" xr:uid="{4D70C9B0-47A5-41E3-B11C-CC22E4E06632}">
      <formula1>"ANNA ALICE"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59FC-F0BD-49AA-8F1D-71A78065C9F0}">
  <dimension ref="A1:J16"/>
  <sheetViews>
    <sheetView showGridLines="0" workbookViewId="0">
      <selection activeCell="G16" sqref="G16"/>
    </sheetView>
  </sheetViews>
  <sheetFormatPr defaultColWidth="12.5703125" defaultRowHeight="22.5" customHeight="1"/>
  <cols>
    <col min="1" max="1" width="4.28515625" style="93" customWidth="1"/>
    <col min="2" max="2" width="42.7109375" style="93" bestFit="1" customWidth="1"/>
    <col min="3" max="3" width="16.7109375" style="93" customWidth="1"/>
    <col min="4" max="4" width="15.7109375" style="93" customWidth="1"/>
    <col min="5" max="5" width="30.85546875" style="93" customWidth="1"/>
    <col min="6" max="6" width="14.28515625" style="93" customWidth="1"/>
    <col min="7" max="7" width="13.140625" style="93" customWidth="1"/>
    <col min="8" max="8" width="17.7109375" style="93" customWidth="1"/>
    <col min="9" max="9" width="25.7109375" style="93" customWidth="1"/>
    <col min="10" max="10" width="17.7109375" style="93" customWidth="1"/>
    <col min="11" max="16" width="20.85546875" style="93" customWidth="1"/>
    <col min="17" max="16384" width="12.5703125" style="93"/>
  </cols>
  <sheetData>
    <row r="1" spans="1:10" ht="22.5" customHeight="1">
      <c r="B1" s="239" t="s">
        <v>634</v>
      </c>
      <c r="C1" s="239"/>
      <c r="D1" s="239"/>
      <c r="E1" s="149"/>
      <c r="F1" s="240" t="e" vm="1">
        <v>#VALUE!</v>
      </c>
      <c r="G1" s="240"/>
      <c r="H1" s="240"/>
      <c r="I1" s="240"/>
      <c r="J1" s="240"/>
    </row>
    <row r="2" spans="1:10" ht="22.5" customHeight="1">
      <c r="B2" s="239"/>
      <c r="C2" s="239"/>
      <c r="D2" s="239"/>
      <c r="E2" s="149"/>
      <c r="F2" s="240"/>
      <c r="G2" s="240"/>
      <c r="H2" s="240"/>
      <c r="I2" s="240"/>
      <c r="J2" s="240"/>
    </row>
    <row r="3" spans="1:10" ht="22.5" customHeight="1">
      <c r="B3" s="239"/>
      <c r="C3" s="239"/>
      <c r="D3" s="239"/>
      <c r="E3" s="149"/>
      <c r="F3" s="240"/>
      <c r="G3" s="240"/>
      <c r="H3" s="240"/>
      <c r="I3" s="240"/>
      <c r="J3" s="240"/>
    </row>
    <row r="4" spans="1:10" ht="22.5" customHeight="1">
      <c r="B4" s="239"/>
      <c r="C4" s="239"/>
      <c r="D4" s="239"/>
      <c r="F4" s="240"/>
      <c r="G4" s="240"/>
      <c r="H4" s="240"/>
      <c r="I4" s="240"/>
      <c r="J4" s="240"/>
    </row>
    <row r="5" spans="1:10" ht="10.5" customHeight="1">
      <c r="B5" s="148"/>
      <c r="C5" s="148"/>
      <c r="D5" s="148"/>
      <c r="F5" s="149"/>
      <c r="G5" s="149"/>
      <c r="H5" s="149"/>
      <c r="I5" s="149"/>
      <c r="J5" s="149"/>
    </row>
    <row r="6" spans="1:10" ht="15" customHeight="1">
      <c r="B6" s="241" t="s">
        <v>489</v>
      </c>
      <c r="C6" s="242"/>
      <c r="D6" s="242"/>
      <c r="E6" s="242"/>
      <c r="F6" s="242"/>
      <c r="G6" s="242"/>
      <c r="H6" s="243" t="s">
        <v>476</v>
      </c>
      <c r="I6" s="244"/>
      <c r="J6" s="244"/>
    </row>
    <row r="7" spans="1:10" ht="15" customHeight="1">
      <c r="B7" s="150"/>
      <c r="H7" s="150"/>
    </row>
    <row r="8" spans="1:10" ht="18.75" customHeight="1">
      <c r="A8" s="151"/>
      <c r="B8" s="152" t="s">
        <v>448</v>
      </c>
      <c r="C8" s="153">
        <f>COUNTA(C11:C12)</f>
        <v>0</v>
      </c>
      <c r="D8" s="154"/>
      <c r="E8" s="152" t="s">
        <v>455</v>
      </c>
      <c r="F8" s="155">
        <f>SUM(F11:F12)</f>
        <v>0</v>
      </c>
      <c r="G8" s="156"/>
      <c r="H8" s="245" t="s">
        <v>456</v>
      </c>
      <c r="I8" s="245"/>
      <c r="J8" s="157">
        <f>SUM(G11:G12)</f>
        <v>0</v>
      </c>
    </row>
    <row r="9" spans="1:10" ht="15" customHeight="1">
      <c r="B9" s="150"/>
      <c r="C9" s="150"/>
      <c r="D9" s="150"/>
      <c r="E9" s="150"/>
      <c r="F9" s="150"/>
      <c r="G9" s="150"/>
    </row>
    <row r="10" spans="1:10" ht="22.5" customHeight="1">
      <c r="B10" s="120" t="s">
        <v>0</v>
      </c>
      <c r="C10" s="158" t="s">
        <v>2</v>
      </c>
      <c r="D10" s="120" t="s">
        <v>461</v>
      </c>
      <c r="E10" s="120" t="s">
        <v>3</v>
      </c>
      <c r="F10" s="121" t="s">
        <v>4</v>
      </c>
      <c r="G10" s="121" t="s">
        <v>5</v>
      </c>
      <c r="H10" s="120" t="s">
        <v>466</v>
      </c>
      <c r="I10" s="120" t="s">
        <v>7</v>
      </c>
      <c r="J10" s="120" t="s">
        <v>463</v>
      </c>
    </row>
    <row r="11" spans="1:10" ht="22.5" customHeight="1">
      <c r="B11" s="175"/>
      <c r="C11" s="195"/>
      <c r="D11" s="197"/>
      <c r="E11" s="175"/>
      <c r="F11" s="176"/>
      <c r="G11" s="237"/>
      <c r="H11" s="175"/>
      <c r="I11" s="238"/>
      <c r="J11" s="222" t="b">
        <v>0</v>
      </c>
    </row>
    <row r="12" spans="1:10" ht="22.5" customHeight="1">
      <c r="B12" s="223"/>
      <c r="C12" s="224"/>
      <c r="D12" s="225"/>
      <c r="E12" s="205"/>
      <c r="F12" s="208"/>
      <c r="G12" s="226"/>
      <c r="H12" s="205"/>
      <c r="I12" s="227"/>
      <c r="J12" s="181"/>
    </row>
    <row r="15" spans="1:10" ht="22.5" customHeight="1">
      <c r="B15" s="107" t="s">
        <v>465</v>
      </c>
      <c r="C15" s="107" t="s">
        <v>459</v>
      </c>
      <c r="D15" s="107" t="s">
        <v>460</v>
      </c>
    </row>
    <row r="16" spans="1:10" ht="22.5" customHeight="1">
      <c r="B16" s="115" t="s">
        <v>490</v>
      </c>
      <c r="C16" s="146">
        <f>SUMIF(H11:H12, "FERNANDA", F11:F12)</f>
        <v>0</v>
      </c>
      <c r="D16" s="147">
        <f>C16*20%</f>
        <v>0</v>
      </c>
    </row>
  </sheetData>
  <mergeCells count="5">
    <mergeCell ref="B1:D4"/>
    <mergeCell ref="F1:J4"/>
    <mergeCell ref="B6:G6"/>
    <mergeCell ref="H6:J6"/>
    <mergeCell ref="H8:I8"/>
  </mergeCells>
  <dataValidations count="1">
    <dataValidation type="list" allowBlank="1" showErrorMessage="1" sqref="H12" xr:uid="{6BA51674-D1FF-4AEA-BA0D-5B39C81BB992}">
      <formula1>"CAMILA"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1:I4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3" customWidth="1"/>
    <col min="2" max="2" width="47.5703125" customWidth="1"/>
    <col min="3" max="3" width="14.42578125" customWidth="1"/>
    <col min="4" max="4" width="13.7109375" customWidth="1"/>
    <col min="5" max="5" width="24.7109375" customWidth="1"/>
    <col min="7" max="7" width="13.140625" customWidth="1"/>
    <col min="8" max="8" width="17.85546875" customWidth="1"/>
    <col min="9" max="9" width="20.85546875" customWidth="1"/>
  </cols>
  <sheetData>
    <row r="1" spans="2:9" ht="15">
      <c r="B1" s="284" t="s">
        <v>23</v>
      </c>
      <c r="C1" s="285"/>
      <c r="D1" s="285"/>
      <c r="E1" s="285"/>
      <c r="F1" s="285"/>
      <c r="G1" s="285"/>
      <c r="H1" s="285"/>
      <c r="I1" s="285"/>
    </row>
    <row r="2" spans="2:9" ht="8.25" customHeight="1">
      <c r="B2" s="286"/>
      <c r="C2" s="287"/>
      <c r="D2" s="287"/>
      <c r="E2" s="287"/>
      <c r="F2" s="287"/>
      <c r="G2" s="287"/>
      <c r="H2" s="287"/>
      <c r="I2" s="287"/>
    </row>
    <row r="3" spans="2:9" ht="12.75">
      <c r="B3" s="2" t="s">
        <v>0</v>
      </c>
      <c r="C3" s="3" t="s">
        <v>1</v>
      </c>
      <c r="D3" s="3" t="s">
        <v>2</v>
      </c>
      <c r="E3" s="3" t="s">
        <v>3</v>
      </c>
      <c r="F3" s="4" t="s">
        <v>4</v>
      </c>
      <c r="G3" s="5" t="s">
        <v>5</v>
      </c>
      <c r="H3" s="3" t="s">
        <v>6</v>
      </c>
      <c r="I3" s="3" t="s">
        <v>7</v>
      </c>
    </row>
    <row r="4" spans="2:9" ht="12.75">
      <c r="B4" s="7" t="s">
        <v>24</v>
      </c>
      <c r="C4" s="8" t="s">
        <v>25</v>
      </c>
      <c r="D4" s="9" t="s">
        <v>26</v>
      </c>
      <c r="E4" s="10" t="s">
        <v>27</v>
      </c>
      <c r="F4" s="11">
        <v>90</v>
      </c>
      <c r="G4" s="11">
        <v>46.46</v>
      </c>
      <c r="H4" s="10" t="s">
        <v>28</v>
      </c>
      <c r="I4" s="21" t="s">
        <v>29</v>
      </c>
    </row>
    <row r="5" spans="2:9" ht="12.75">
      <c r="B5" s="7" t="s">
        <v>30</v>
      </c>
      <c r="C5" s="8" t="s">
        <v>31</v>
      </c>
      <c r="D5" s="9" t="s">
        <v>32</v>
      </c>
      <c r="E5" s="10" t="s">
        <v>33</v>
      </c>
      <c r="F5" s="11">
        <v>90</v>
      </c>
      <c r="G5" s="11">
        <v>56.9</v>
      </c>
      <c r="H5" s="10" t="s">
        <v>34</v>
      </c>
      <c r="I5" s="21" t="s">
        <v>35</v>
      </c>
    </row>
    <row r="6" spans="2:9" ht="12.75">
      <c r="B6" s="7" t="s">
        <v>36</v>
      </c>
      <c r="C6" s="8" t="s">
        <v>31</v>
      </c>
      <c r="D6" s="9" t="s">
        <v>37</v>
      </c>
      <c r="E6" s="10" t="s">
        <v>38</v>
      </c>
      <c r="F6" s="11">
        <v>210</v>
      </c>
      <c r="G6" s="11">
        <v>189.47</v>
      </c>
      <c r="H6" s="10" t="s">
        <v>28</v>
      </c>
      <c r="I6" s="21" t="s">
        <v>39</v>
      </c>
    </row>
    <row r="7" spans="2:9" ht="12.75">
      <c r="B7" s="7" t="s">
        <v>40</v>
      </c>
      <c r="C7" s="26" t="s">
        <v>41</v>
      </c>
      <c r="D7" s="9" t="s">
        <v>42</v>
      </c>
      <c r="E7" s="14" t="s">
        <v>43</v>
      </c>
      <c r="F7" s="11">
        <v>84</v>
      </c>
      <c r="G7" s="11">
        <v>50.07</v>
      </c>
      <c r="H7" s="10" t="s">
        <v>44</v>
      </c>
      <c r="I7" s="27" t="s">
        <v>45</v>
      </c>
    </row>
    <row r="8" spans="2:9" ht="12.75">
      <c r="B8" s="7" t="s">
        <v>20</v>
      </c>
      <c r="C8" s="26" t="s">
        <v>41</v>
      </c>
      <c r="D8" s="9" t="s">
        <v>46</v>
      </c>
      <c r="E8" s="14" t="s">
        <v>47</v>
      </c>
      <c r="F8" s="11">
        <v>500</v>
      </c>
      <c r="G8" s="11" t="s">
        <v>48</v>
      </c>
      <c r="H8" s="10" t="s">
        <v>34</v>
      </c>
      <c r="I8" s="27" t="s">
        <v>21</v>
      </c>
    </row>
    <row r="9" spans="2:9" ht="12.75">
      <c r="B9" s="7" t="s">
        <v>49</v>
      </c>
      <c r="C9" s="26" t="s">
        <v>41</v>
      </c>
      <c r="D9" s="9" t="s">
        <v>50</v>
      </c>
      <c r="E9" s="14" t="s">
        <v>51</v>
      </c>
      <c r="F9" s="11">
        <v>82</v>
      </c>
      <c r="G9" s="11">
        <v>60.71</v>
      </c>
      <c r="H9" s="10" t="s">
        <v>34</v>
      </c>
      <c r="I9" s="21" t="s">
        <v>52</v>
      </c>
    </row>
    <row r="10" spans="2:9" ht="12.75">
      <c r="B10" s="14" t="s">
        <v>53</v>
      </c>
      <c r="C10" s="8" t="s">
        <v>54</v>
      </c>
      <c r="D10" s="9" t="s">
        <v>55</v>
      </c>
      <c r="E10" s="10" t="s">
        <v>38</v>
      </c>
      <c r="F10" s="11">
        <v>108</v>
      </c>
      <c r="G10" s="11">
        <v>65.37</v>
      </c>
      <c r="H10" s="10" t="s">
        <v>56</v>
      </c>
      <c r="I10" s="21" t="s">
        <v>57</v>
      </c>
    </row>
    <row r="11" spans="2:9" ht="12.75">
      <c r="B11" s="14" t="s">
        <v>58</v>
      </c>
      <c r="C11" s="8" t="s">
        <v>59</v>
      </c>
      <c r="D11" s="9" t="s">
        <v>60</v>
      </c>
      <c r="E11" s="10" t="s">
        <v>38</v>
      </c>
      <c r="F11" s="11">
        <v>300</v>
      </c>
      <c r="G11" s="11">
        <v>197.91</v>
      </c>
      <c r="H11" s="10" t="s">
        <v>44</v>
      </c>
      <c r="I11" s="21" t="s">
        <v>61</v>
      </c>
    </row>
    <row r="12" spans="2:9" ht="12.75">
      <c r="B12" s="14" t="s">
        <v>62</v>
      </c>
      <c r="C12" s="8" t="s">
        <v>59</v>
      </c>
      <c r="D12" s="9" t="s">
        <v>63</v>
      </c>
      <c r="E12" s="10" t="s">
        <v>27</v>
      </c>
      <c r="F12" s="11">
        <v>210</v>
      </c>
      <c r="G12" s="11">
        <v>125.01</v>
      </c>
      <c r="H12" s="10" t="s">
        <v>34</v>
      </c>
      <c r="I12" s="21" t="s">
        <v>64</v>
      </c>
    </row>
    <row r="13" spans="2:9" ht="12.75">
      <c r="B13" s="14" t="s">
        <v>65</v>
      </c>
      <c r="C13" s="8" t="s">
        <v>66</v>
      </c>
      <c r="D13" s="9" t="s">
        <v>67</v>
      </c>
      <c r="E13" s="10" t="s">
        <v>27</v>
      </c>
      <c r="F13" s="11">
        <v>200</v>
      </c>
      <c r="G13" s="11">
        <v>80.900000000000006</v>
      </c>
      <c r="H13" s="10" t="s">
        <v>34</v>
      </c>
      <c r="I13" s="21" t="s">
        <v>68</v>
      </c>
    </row>
    <row r="14" spans="2:9" ht="12.75">
      <c r="B14" s="28" t="s">
        <v>40</v>
      </c>
      <c r="C14" s="8" t="s">
        <v>66</v>
      </c>
      <c r="D14" s="28" t="s">
        <v>69</v>
      </c>
      <c r="E14" s="10" t="s">
        <v>43</v>
      </c>
      <c r="F14" s="11">
        <v>98</v>
      </c>
      <c r="G14" s="11">
        <v>62.01</v>
      </c>
      <c r="H14" s="10" t="s">
        <v>44</v>
      </c>
      <c r="I14" s="21" t="s">
        <v>70</v>
      </c>
    </row>
    <row r="15" spans="2:9" ht="12.75">
      <c r="B15" s="28" t="s">
        <v>40</v>
      </c>
      <c r="C15" s="8" t="s">
        <v>71</v>
      </c>
      <c r="D15" s="9" t="s">
        <v>72</v>
      </c>
      <c r="E15" s="10" t="s">
        <v>43</v>
      </c>
      <c r="F15" s="11">
        <v>98</v>
      </c>
      <c r="G15" s="11">
        <v>62.01</v>
      </c>
      <c r="H15" s="10" t="s">
        <v>44</v>
      </c>
      <c r="I15" s="21" t="s">
        <v>73</v>
      </c>
    </row>
    <row r="16" spans="2:9" ht="12.75">
      <c r="B16" s="13" t="s">
        <v>74</v>
      </c>
      <c r="C16" s="8" t="s">
        <v>75</v>
      </c>
      <c r="D16" s="9" t="s">
        <v>76</v>
      </c>
      <c r="E16" s="14" t="s">
        <v>43</v>
      </c>
      <c r="F16" s="11">
        <v>210</v>
      </c>
      <c r="G16" s="11">
        <v>149.52000000000001</v>
      </c>
      <c r="H16" s="10" t="s">
        <v>34</v>
      </c>
      <c r="I16" s="21" t="s">
        <v>77</v>
      </c>
    </row>
    <row r="17" spans="2:9" ht="12.75">
      <c r="B17" s="14" t="s">
        <v>78</v>
      </c>
      <c r="C17" s="8" t="s">
        <v>75</v>
      </c>
      <c r="D17" s="9" t="s">
        <v>79</v>
      </c>
      <c r="E17" s="10" t="s">
        <v>33</v>
      </c>
      <c r="F17" s="11">
        <v>280</v>
      </c>
      <c r="G17" s="11">
        <v>121.41</v>
      </c>
      <c r="H17" s="10" t="s">
        <v>44</v>
      </c>
      <c r="I17" s="288" t="s">
        <v>80</v>
      </c>
    </row>
    <row r="18" spans="2:9" ht="12.75">
      <c r="B18" s="14" t="s">
        <v>78</v>
      </c>
      <c r="C18" s="8" t="s">
        <v>75</v>
      </c>
      <c r="D18" s="9" t="s">
        <v>81</v>
      </c>
      <c r="E18" s="10" t="s">
        <v>27</v>
      </c>
      <c r="F18" s="11">
        <v>147</v>
      </c>
      <c r="G18" s="11">
        <v>67.41</v>
      </c>
      <c r="H18" s="10" t="s">
        <v>44</v>
      </c>
      <c r="I18" s="283"/>
    </row>
    <row r="19" spans="2:9" ht="12.75">
      <c r="B19" s="14" t="s">
        <v>82</v>
      </c>
      <c r="C19" s="8" t="s">
        <v>75</v>
      </c>
      <c r="D19" s="9" t="s">
        <v>83</v>
      </c>
      <c r="E19" s="10" t="s">
        <v>27</v>
      </c>
      <c r="F19" s="11">
        <v>180</v>
      </c>
      <c r="G19" s="11">
        <v>56.56</v>
      </c>
      <c r="H19" s="10" t="s">
        <v>34</v>
      </c>
      <c r="I19" s="21" t="s">
        <v>84</v>
      </c>
    </row>
    <row r="20" spans="2:9" ht="12.75">
      <c r="B20" s="14" t="s">
        <v>85</v>
      </c>
      <c r="C20" s="8" t="s">
        <v>75</v>
      </c>
      <c r="D20" s="9" t="s">
        <v>86</v>
      </c>
      <c r="E20" s="10" t="s">
        <v>38</v>
      </c>
      <c r="F20" s="11">
        <v>240</v>
      </c>
      <c r="G20" s="11">
        <v>164.61</v>
      </c>
      <c r="H20" s="10" t="s">
        <v>34</v>
      </c>
      <c r="I20" s="21" t="s">
        <v>87</v>
      </c>
    </row>
    <row r="21" spans="2:9" ht="12.75">
      <c r="B21" s="14" t="s">
        <v>88</v>
      </c>
      <c r="C21" s="8" t="s">
        <v>75</v>
      </c>
      <c r="D21" s="9" t="s">
        <v>89</v>
      </c>
      <c r="E21" s="10" t="s">
        <v>33</v>
      </c>
      <c r="F21" s="11">
        <v>200</v>
      </c>
      <c r="G21" s="11">
        <v>57.51</v>
      </c>
      <c r="H21" s="10" t="s">
        <v>34</v>
      </c>
      <c r="I21" s="21" t="s">
        <v>90</v>
      </c>
    </row>
    <row r="22" spans="2:9" ht="12.75">
      <c r="B22" s="14" t="s">
        <v>91</v>
      </c>
      <c r="C22" s="8" t="s">
        <v>92</v>
      </c>
      <c r="D22" s="9" t="s">
        <v>93</v>
      </c>
      <c r="E22" s="10" t="s">
        <v>38</v>
      </c>
      <c r="F22" s="11">
        <v>182.9</v>
      </c>
      <c r="G22" s="11">
        <v>182.9</v>
      </c>
      <c r="H22" s="10" t="s">
        <v>28</v>
      </c>
      <c r="I22" s="21" t="s">
        <v>94</v>
      </c>
    </row>
    <row r="23" spans="2:9" ht="12.75">
      <c r="B23" s="14" t="s">
        <v>95</v>
      </c>
      <c r="C23" s="8" t="s">
        <v>92</v>
      </c>
      <c r="D23" s="9" t="s">
        <v>96</v>
      </c>
      <c r="E23" s="10" t="s">
        <v>27</v>
      </c>
      <c r="F23" s="11">
        <v>200</v>
      </c>
      <c r="G23" s="11">
        <v>94.9</v>
      </c>
      <c r="H23" s="10" t="s">
        <v>34</v>
      </c>
      <c r="I23" s="21" t="s">
        <v>97</v>
      </c>
    </row>
    <row r="24" spans="2:9" ht="12.75">
      <c r="B24" s="14" t="s">
        <v>98</v>
      </c>
      <c r="C24" s="8" t="s">
        <v>92</v>
      </c>
      <c r="D24" s="9" t="s">
        <v>99</v>
      </c>
      <c r="E24" s="10" t="s">
        <v>43</v>
      </c>
      <c r="F24" s="11">
        <v>190.56</v>
      </c>
      <c r="G24" s="11">
        <v>190.56</v>
      </c>
      <c r="H24" s="10" t="s">
        <v>28</v>
      </c>
      <c r="I24" s="21" t="s">
        <v>100</v>
      </c>
    </row>
    <row r="25" spans="2:9" ht="12.75">
      <c r="B25" s="13" t="s">
        <v>40</v>
      </c>
      <c r="C25" s="8" t="s">
        <v>101</v>
      </c>
      <c r="D25" s="9" t="s">
        <v>102</v>
      </c>
      <c r="E25" s="14" t="s">
        <v>43</v>
      </c>
      <c r="F25" s="11">
        <v>98</v>
      </c>
      <c r="G25" s="11">
        <v>62.01</v>
      </c>
      <c r="H25" s="10" t="s">
        <v>44</v>
      </c>
      <c r="I25" s="21" t="s">
        <v>45</v>
      </c>
    </row>
    <row r="26" spans="2:9" ht="12.75">
      <c r="B26" s="13" t="s">
        <v>103</v>
      </c>
      <c r="C26" s="8" t="s">
        <v>101</v>
      </c>
      <c r="D26" s="9" t="s">
        <v>104</v>
      </c>
      <c r="E26" s="10" t="s">
        <v>27</v>
      </c>
      <c r="F26" s="11">
        <v>400</v>
      </c>
      <c r="G26" s="11">
        <v>158.80000000000001</v>
      </c>
      <c r="H26" s="10" t="s">
        <v>44</v>
      </c>
      <c r="I26" s="21" t="s">
        <v>105</v>
      </c>
    </row>
    <row r="27" spans="2:9" ht="12.75">
      <c r="B27" s="14" t="s">
        <v>106</v>
      </c>
      <c r="C27" s="8" t="s">
        <v>107</v>
      </c>
      <c r="D27" s="9" t="s">
        <v>108</v>
      </c>
      <c r="E27" s="10" t="s">
        <v>33</v>
      </c>
      <c r="F27" s="11">
        <v>480</v>
      </c>
      <c r="G27" s="11">
        <v>305.92</v>
      </c>
      <c r="H27" s="10" t="s">
        <v>34</v>
      </c>
      <c r="I27" s="21" t="s">
        <v>109</v>
      </c>
    </row>
    <row r="28" spans="2:9" ht="12.75">
      <c r="B28" s="14" t="s">
        <v>40</v>
      </c>
      <c r="C28" s="8" t="s">
        <v>107</v>
      </c>
      <c r="D28" s="9" t="s">
        <v>110</v>
      </c>
      <c r="E28" s="10" t="s">
        <v>38</v>
      </c>
      <c r="F28" s="11">
        <v>73.5</v>
      </c>
      <c r="G28" s="11">
        <v>51.21</v>
      </c>
      <c r="H28" s="10" t="s">
        <v>44</v>
      </c>
      <c r="I28" s="21" t="s">
        <v>111</v>
      </c>
    </row>
    <row r="29" spans="2:9" ht="12.75">
      <c r="B29" s="14" t="s">
        <v>112</v>
      </c>
      <c r="C29" s="8" t="s">
        <v>113</v>
      </c>
      <c r="D29" s="9" t="s">
        <v>114</v>
      </c>
      <c r="E29" s="10" t="s">
        <v>33</v>
      </c>
      <c r="F29" s="11">
        <v>190</v>
      </c>
      <c r="G29" s="11">
        <v>57.9</v>
      </c>
      <c r="H29" s="10" t="s">
        <v>28</v>
      </c>
      <c r="I29" s="21" t="s">
        <v>115</v>
      </c>
    </row>
    <row r="30" spans="2:9" ht="12.75">
      <c r="B30" s="13" t="s">
        <v>116</v>
      </c>
      <c r="C30" s="8" t="s">
        <v>113</v>
      </c>
      <c r="D30" s="9" t="s">
        <v>117</v>
      </c>
      <c r="E30" s="14" t="s">
        <v>43</v>
      </c>
      <c r="F30" s="11">
        <v>198</v>
      </c>
      <c r="G30" s="11">
        <v>143.01</v>
      </c>
      <c r="H30" s="10" t="s">
        <v>34</v>
      </c>
      <c r="I30" s="21" t="s">
        <v>118</v>
      </c>
    </row>
    <row r="31" spans="2:9" ht="12.75">
      <c r="B31" s="7" t="s">
        <v>119</v>
      </c>
      <c r="C31" s="8" t="s">
        <v>120</v>
      </c>
      <c r="D31" s="9" t="s">
        <v>121</v>
      </c>
      <c r="E31" s="14" t="s">
        <v>122</v>
      </c>
      <c r="F31" s="11">
        <v>150</v>
      </c>
      <c r="G31" s="11">
        <v>68.900000000000006</v>
      </c>
      <c r="H31" s="10" t="s">
        <v>34</v>
      </c>
      <c r="I31" s="21" t="s">
        <v>123</v>
      </c>
    </row>
    <row r="32" spans="2:9" ht="12.75">
      <c r="B32" s="13" t="s">
        <v>124</v>
      </c>
      <c r="C32" s="8" t="s">
        <v>125</v>
      </c>
      <c r="D32" s="9" t="s">
        <v>126</v>
      </c>
      <c r="E32" s="14" t="s">
        <v>43</v>
      </c>
      <c r="F32" s="11">
        <v>250</v>
      </c>
      <c r="G32" s="11">
        <v>217.81</v>
      </c>
      <c r="H32" s="10" t="s">
        <v>127</v>
      </c>
      <c r="I32" s="21" t="s">
        <v>128</v>
      </c>
    </row>
    <row r="33" spans="2:9" ht="12.75">
      <c r="B33" s="14" t="s">
        <v>129</v>
      </c>
      <c r="C33" s="8" t="s">
        <v>125</v>
      </c>
      <c r="D33" s="9" t="s">
        <v>130</v>
      </c>
      <c r="E33" s="28" t="s">
        <v>27</v>
      </c>
      <c r="F33" s="11">
        <v>450</v>
      </c>
      <c r="G33" s="11">
        <v>335.67</v>
      </c>
      <c r="H33" s="10" t="s">
        <v>34</v>
      </c>
      <c r="I33" s="21" t="s">
        <v>131</v>
      </c>
    </row>
    <row r="34" spans="2:9" ht="12.75">
      <c r="B34" s="13" t="s">
        <v>132</v>
      </c>
      <c r="C34" s="8" t="s">
        <v>133</v>
      </c>
      <c r="D34" s="9" t="s">
        <v>134</v>
      </c>
      <c r="E34" s="14" t="s">
        <v>135</v>
      </c>
      <c r="F34" s="11">
        <v>400</v>
      </c>
      <c r="G34" s="11">
        <v>128.61000000000001</v>
      </c>
      <c r="H34" s="10" t="s">
        <v>34</v>
      </c>
      <c r="I34" s="21" t="s">
        <v>136</v>
      </c>
    </row>
    <row r="35" spans="2:9" ht="12.75">
      <c r="B35" s="15" t="s">
        <v>137</v>
      </c>
      <c r="C35" s="8" t="s">
        <v>138</v>
      </c>
      <c r="D35" s="9" t="s">
        <v>139</v>
      </c>
      <c r="E35" s="28" t="s">
        <v>27</v>
      </c>
      <c r="F35" s="11">
        <v>300</v>
      </c>
      <c r="G35" s="11">
        <v>105.9</v>
      </c>
      <c r="H35" s="10" t="s">
        <v>34</v>
      </c>
      <c r="I35" s="21" t="s">
        <v>140</v>
      </c>
    </row>
    <row r="36" spans="2:9" ht="12.75">
      <c r="B36" s="15" t="s">
        <v>141</v>
      </c>
      <c r="C36" s="8" t="s">
        <v>138</v>
      </c>
      <c r="D36" s="9" t="s">
        <v>142</v>
      </c>
      <c r="E36" s="14" t="s">
        <v>135</v>
      </c>
      <c r="F36" s="11">
        <v>144</v>
      </c>
      <c r="G36" s="11">
        <v>71.010000000000005</v>
      </c>
      <c r="H36" s="10" t="s">
        <v>44</v>
      </c>
      <c r="I36" s="21" t="s">
        <v>143</v>
      </c>
    </row>
    <row r="37" spans="2:9" ht="12.75">
      <c r="B37" s="14"/>
      <c r="C37" s="8"/>
      <c r="D37" s="9"/>
      <c r="E37" s="14"/>
      <c r="F37" s="11" t="s">
        <v>8</v>
      </c>
      <c r="G37" s="11"/>
      <c r="H37" s="10"/>
      <c r="I37" s="12"/>
    </row>
    <row r="38" spans="2:9" ht="12.75">
      <c r="B38" s="6"/>
      <c r="C38" s="17"/>
      <c r="D38" s="282" t="s">
        <v>9</v>
      </c>
      <c r="E38" s="283"/>
      <c r="F38" s="4">
        <f>SUM(F4:F37)</f>
        <v>7033.96</v>
      </c>
      <c r="G38" s="18"/>
      <c r="H38" s="6"/>
      <c r="I38" s="6"/>
    </row>
    <row r="39" spans="2:9" ht="12.75">
      <c r="B39" s="1"/>
      <c r="C39" s="17"/>
      <c r="D39" s="282" t="s">
        <v>10</v>
      </c>
      <c r="E39" s="283"/>
      <c r="F39" s="19">
        <f>SUM(G4:G37)</f>
        <v>3788.9500000000016</v>
      </c>
      <c r="G39" s="1"/>
      <c r="H39" s="1"/>
      <c r="I39" s="1"/>
    </row>
    <row r="40" spans="2:9" ht="12.75">
      <c r="B40" s="1"/>
      <c r="C40" s="17"/>
      <c r="D40" s="282" t="s">
        <v>11</v>
      </c>
      <c r="E40" s="283"/>
      <c r="F40" s="20">
        <f>COUNTIF(B4:B1007,"&lt;&gt;")</f>
        <v>33</v>
      </c>
      <c r="G40" s="1"/>
      <c r="H40" s="1"/>
      <c r="I40" s="1"/>
    </row>
  </sheetData>
  <mergeCells count="6">
    <mergeCell ref="D40:E40"/>
    <mergeCell ref="B1:I1"/>
    <mergeCell ref="B2:I2"/>
    <mergeCell ref="I17:I18"/>
    <mergeCell ref="D38:E38"/>
    <mergeCell ref="D39:E39"/>
  </mergeCells>
  <hyperlinks>
    <hyperlink ref="I4" r:id="rId1" xr:uid="{00000000-0004-0000-0200-000000000000}"/>
    <hyperlink ref="I5" r:id="rId2" xr:uid="{00000000-0004-0000-0200-000001000000}"/>
    <hyperlink ref="I6" r:id="rId3" xr:uid="{00000000-0004-0000-0200-000002000000}"/>
    <hyperlink ref="I7" r:id="rId4" xr:uid="{00000000-0004-0000-0200-000003000000}"/>
    <hyperlink ref="I8" r:id="rId5" xr:uid="{00000000-0004-0000-0200-000004000000}"/>
    <hyperlink ref="I9" r:id="rId6" xr:uid="{00000000-0004-0000-0200-000005000000}"/>
    <hyperlink ref="I10" r:id="rId7" xr:uid="{00000000-0004-0000-0200-000006000000}"/>
    <hyperlink ref="I11" r:id="rId8" xr:uid="{00000000-0004-0000-0200-000007000000}"/>
    <hyperlink ref="I12" r:id="rId9" xr:uid="{00000000-0004-0000-0200-000008000000}"/>
    <hyperlink ref="I13" r:id="rId10" xr:uid="{00000000-0004-0000-0200-000009000000}"/>
    <hyperlink ref="I14" r:id="rId11" xr:uid="{00000000-0004-0000-0200-00000A000000}"/>
    <hyperlink ref="I15" r:id="rId12" xr:uid="{00000000-0004-0000-0200-00000B000000}"/>
    <hyperlink ref="I16" r:id="rId13" xr:uid="{00000000-0004-0000-0200-00000C000000}"/>
    <hyperlink ref="I17" r:id="rId14" xr:uid="{00000000-0004-0000-0200-00000D000000}"/>
    <hyperlink ref="I19" r:id="rId15" xr:uid="{00000000-0004-0000-0200-00000E000000}"/>
    <hyperlink ref="I20" r:id="rId16" xr:uid="{00000000-0004-0000-0200-00000F000000}"/>
    <hyperlink ref="I21" r:id="rId17" xr:uid="{00000000-0004-0000-0200-000010000000}"/>
    <hyperlink ref="I22" r:id="rId18" xr:uid="{00000000-0004-0000-0200-000011000000}"/>
    <hyperlink ref="I23" r:id="rId19" xr:uid="{00000000-0004-0000-0200-000012000000}"/>
    <hyperlink ref="I24" r:id="rId20" xr:uid="{00000000-0004-0000-0200-000013000000}"/>
    <hyperlink ref="I25" r:id="rId21" xr:uid="{00000000-0004-0000-0200-000014000000}"/>
    <hyperlink ref="I26" r:id="rId22" xr:uid="{00000000-0004-0000-0200-000015000000}"/>
    <hyperlink ref="I27" r:id="rId23" xr:uid="{00000000-0004-0000-0200-000016000000}"/>
    <hyperlink ref="I28" r:id="rId24" xr:uid="{00000000-0004-0000-0200-000017000000}"/>
    <hyperlink ref="I29" r:id="rId25" xr:uid="{00000000-0004-0000-0200-000018000000}"/>
    <hyperlink ref="I30" r:id="rId26" xr:uid="{00000000-0004-0000-0200-000019000000}"/>
    <hyperlink ref="I31" r:id="rId27" xr:uid="{00000000-0004-0000-0200-00001A000000}"/>
    <hyperlink ref="I32" r:id="rId28" xr:uid="{00000000-0004-0000-0200-00001B000000}"/>
    <hyperlink ref="I33" r:id="rId29" xr:uid="{00000000-0004-0000-0200-00001C000000}"/>
    <hyperlink ref="I34" r:id="rId30" xr:uid="{00000000-0004-0000-0200-00001D000000}"/>
    <hyperlink ref="I35" r:id="rId31" xr:uid="{00000000-0004-0000-0200-00001E000000}"/>
    <hyperlink ref="I36" r:id="rId32" xr:uid="{00000000-0004-0000-0200-00001F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I43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4.42578125" customWidth="1"/>
    <col min="2" max="2" width="40.7109375" customWidth="1"/>
    <col min="3" max="3" width="14.85546875" customWidth="1"/>
    <col min="4" max="4" width="18" customWidth="1"/>
    <col min="5" max="5" width="24.7109375" customWidth="1"/>
    <col min="7" max="7" width="13.140625" customWidth="1"/>
    <col min="8" max="8" width="17.85546875" customWidth="1"/>
    <col min="9" max="9" width="20.85546875" customWidth="1"/>
  </cols>
  <sheetData>
    <row r="1" spans="2:9" ht="15">
      <c r="B1" s="289" t="s">
        <v>153</v>
      </c>
      <c r="C1" s="285"/>
      <c r="D1" s="285"/>
      <c r="E1" s="285"/>
      <c r="F1" s="285"/>
      <c r="G1" s="285"/>
      <c r="H1" s="285"/>
      <c r="I1" s="285"/>
    </row>
    <row r="2" spans="2:9" ht="8.25" customHeight="1">
      <c r="B2" s="290"/>
      <c r="C2" s="287"/>
      <c r="D2" s="287"/>
      <c r="E2" s="287"/>
      <c r="F2" s="287"/>
      <c r="G2" s="287"/>
      <c r="H2" s="287"/>
      <c r="I2" s="287"/>
    </row>
    <row r="3" spans="2:9" ht="12.75">
      <c r="B3" s="30" t="s">
        <v>0</v>
      </c>
      <c r="C3" s="31" t="s">
        <v>1</v>
      </c>
      <c r="D3" s="31" t="s">
        <v>2</v>
      </c>
      <c r="E3" s="31" t="s">
        <v>3</v>
      </c>
      <c r="F3" s="32" t="s">
        <v>4</v>
      </c>
      <c r="G3" s="39" t="s">
        <v>5</v>
      </c>
      <c r="H3" s="31" t="s">
        <v>151</v>
      </c>
      <c r="I3" s="31" t="s">
        <v>7</v>
      </c>
    </row>
    <row r="4" spans="2:9" ht="12.75">
      <c r="B4" s="22" t="s">
        <v>85</v>
      </c>
      <c r="C4" s="46">
        <v>45201</v>
      </c>
      <c r="D4" s="41" t="s">
        <v>154</v>
      </c>
      <c r="E4" s="34" t="s">
        <v>13</v>
      </c>
      <c r="F4" s="25">
        <v>300</v>
      </c>
      <c r="G4" s="25">
        <v>224.91</v>
      </c>
      <c r="H4" s="34" t="s">
        <v>12</v>
      </c>
      <c r="I4" s="42" t="s">
        <v>87</v>
      </c>
    </row>
    <row r="5" spans="2:9" ht="12.75">
      <c r="B5" s="22" t="s">
        <v>155</v>
      </c>
      <c r="C5" s="46">
        <v>45203</v>
      </c>
      <c r="D5" s="41" t="s">
        <v>156</v>
      </c>
      <c r="E5" s="34" t="s">
        <v>157</v>
      </c>
      <c r="F5" s="25">
        <v>100</v>
      </c>
      <c r="G5" s="25">
        <v>50.9</v>
      </c>
      <c r="H5" s="34" t="s">
        <v>12</v>
      </c>
      <c r="I5" s="42" t="s">
        <v>158</v>
      </c>
    </row>
    <row r="6" spans="2:9" ht="12.75">
      <c r="B6" s="22" t="s">
        <v>159</v>
      </c>
      <c r="C6" s="46">
        <v>45205</v>
      </c>
      <c r="D6" s="41" t="s">
        <v>160</v>
      </c>
      <c r="E6" s="24" t="s">
        <v>22</v>
      </c>
      <c r="F6" s="25">
        <v>300</v>
      </c>
      <c r="G6" s="25">
        <v>158.9</v>
      </c>
      <c r="H6" s="34" t="s">
        <v>12</v>
      </c>
      <c r="I6" s="42" t="s">
        <v>161</v>
      </c>
    </row>
    <row r="7" spans="2:9" ht="12.75">
      <c r="B7" s="22" t="s">
        <v>162</v>
      </c>
      <c r="C7" s="46">
        <v>45205</v>
      </c>
      <c r="D7" s="41" t="s">
        <v>163</v>
      </c>
      <c r="E7" s="24" t="s">
        <v>22</v>
      </c>
      <c r="F7" s="25">
        <v>180</v>
      </c>
      <c r="G7" s="25">
        <v>180</v>
      </c>
      <c r="H7" s="24" t="s">
        <v>164</v>
      </c>
      <c r="I7" s="42" t="s">
        <v>165</v>
      </c>
    </row>
    <row r="8" spans="2:9" ht="12.75">
      <c r="B8" s="22" t="s">
        <v>166</v>
      </c>
      <c r="C8" s="40" t="s">
        <v>167</v>
      </c>
      <c r="D8" s="41" t="s">
        <v>168</v>
      </c>
      <c r="E8" s="24" t="s">
        <v>18</v>
      </c>
      <c r="F8" s="25">
        <v>120</v>
      </c>
      <c r="G8" s="25">
        <v>68.900000000000006</v>
      </c>
      <c r="H8" s="34" t="s">
        <v>12</v>
      </c>
      <c r="I8" s="42" t="s">
        <v>169</v>
      </c>
    </row>
    <row r="9" spans="2:9" ht="12.75">
      <c r="B9" s="22" t="s">
        <v>170</v>
      </c>
      <c r="C9" s="40" t="s">
        <v>167</v>
      </c>
      <c r="D9" s="41" t="s">
        <v>171</v>
      </c>
      <c r="E9" s="34" t="s">
        <v>13</v>
      </c>
      <c r="F9" s="25">
        <v>350</v>
      </c>
      <c r="G9" s="25">
        <v>239.9</v>
      </c>
      <c r="H9" s="34" t="s">
        <v>12</v>
      </c>
      <c r="I9" s="42" t="s">
        <v>172</v>
      </c>
    </row>
    <row r="10" spans="2:9" ht="12.75">
      <c r="B10" s="22" t="s">
        <v>173</v>
      </c>
      <c r="C10" s="40" t="s">
        <v>174</v>
      </c>
      <c r="D10" s="41" t="s">
        <v>16</v>
      </c>
      <c r="E10" s="34" t="s">
        <v>13</v>
      </c>
      <c r="F10" s="25">
        <v>200</v>
      </c>
      <c r="G10" s="25">
        <v>89.9</v>
      </c>
      <c r="H10" s="24" t="s">
        <v>175</v>
      </c>
      <c r="I10" s="42" t="s">
        <v>176</v>
      </c>
    </row>
    <row r="11" spans="2:9" ht="12.75">
      <c r="B11" s="22" t="s">
        <v>177</v>
      </c>
      <c r="C11" s="40" t="s">
        <v>174</v>
      </c>
      <c r="D11" s="41" t="s">
        <v>178</v>
      </c>
      <c r="E11" s="34" t="s">
        <v>13</v>
      </c>
      <c r="F11" s="25">
        <v>500</v>
      </c>
      <c r="G11" s="25">
        <v>396.9</v>
      </c>
      <c r="H11" s="34" t="s">
        <v>12</v>
      </c>
      <c r="I11" s="42" t="s">
        <v>179</v>
      </c>
    </row>
    <row r="12" spans="2:9" ht="12.75">
      <c r="B12" s="13" t="s">
        <v>180</v>
      </c>
      <c r="C12" s="40" t="s">
        <v>174</v>
      </c>
      <c r="D12" s="24" t="s">
        <v>181</v>
      </c>
      <c r="E12" s="34" t="s">
        <v>17</v>
      </c>
      <c r="F12" s="25">
        <v>100</v>
      </c>
      <c r="G12" s="25">
        <v>65.459999999999994</v>
      </c>
      <c r="H12" s="47" t="s">
        <v>182</v>
      </c>
      <c r="I12" s="48" t="s">
        <v>183</v>
      </c>
    </row>
    <row r="13" spans="2:9" ht="12.75">
      <c r="B13" s="22" t="s">
        <v>184</v>
      </c>
      <c r="C13" s="40" t="s">
        <v>185</v>
      </c>
      <c r="D13" s="41" t="s">
        <v>186</v>
      </c>
      <c r="E13" s="34" t="s">
        <v>13</v>
      </c>
      <c r="F13" s="25">
        <v>230</v>
      </c>
      <c r="G13" s="25">
        <v>88.9</v>
      </c>
      <c r="H13" s="28" t="s">
        <v>182</v>
      </c>
      <c r="I13" s="48" t="s">
        <v>187</v>
      </c>
    </row>
    <row r="14" spans="2:9" ht="12.75">
      <c r="B14" s="22" t="s">
        <v>188</v>
      </c>
      <c r="C14" s="40" t="s">
        <v>185</v>
      </c>
      <c r="D14" s="41" t="s">
        <v>189</v>
      </c>
      <c r="E14" s="24" t="s">
        <v>18</v>
      </c>
      <c r="F14" s="25">
        <v>105</v>
      </c>
      <c r="G14" s="25">
        <v>76.900000000000006</v>
      </c>
      <c r="H14" s="34" t="s">
        <v>12</v>
      </c>
      <c r="I14" s="49" t="s">
        <v>190</v>
      </c>
    </row>
    <row r="15" spans="2:9" ht="12.75">
      <c r="B15" s="22" t="s">
        <v>191</v>
      </c>
      <c r="C15" s="40" t="s">
        <v>185</v>
      </c>
      <c r="D15" s="41" t="s">
        <v>192</v>
      </c>
      <c r="E15" s="24" t="s">
        <v>18</v>
      </c>
      <c r="F15" s="25">
        <v>125</v>
      </c>
      <c r="G15" s="25">
        <v>78.900000000000006</v>
      </c>
      <c r="H15" s="34" t="s">
        <v>12</v>
      </c>
      <c r="I15" s="42" t="s">
        <v>193</v>
      </c>
    </row>
    <row r="16" spans="2:9" ht="12.75">
      <c r="B16" s="22" t="s">
        <v>40</v>
      </c>
      <c r="C16" s="40" t="s">
        <v>194</v>
      </c>
      <c r="D16" s="41" t="s">
        <v>195</v>
      </c>
      <c r="E16" s="34" t="s">
        <v>15</v>
      </c>
      <c r="F16" s="25">
        <v>96</v>
      </c>
      <c r="G16" s="25">
        <v>68.900000000000006</v>
      </c>
      <c r="H16" s="24" t="s">
        <v>19</v>
      </c>
      <c r="I16" s="42" t="s">
        <v>70</v>
      </c>
    </row>
    <row r="17" spans="2:9" ht="12.75">
      <c r="B17" s="22" t="s">
        <v>196</v>
      </c>
      <c r="C17" s="40" t="s">
        <v>197</v>
      </c>
      <c r="D17" s="41" t="s">
        <v>198</v>
      </c>
      <c r="E17" s="24" t="s">
        <v>18</v>
      </c>
      <c r="F17" s="25">
        <v>300</v>
      </c>
      <c r="G17" s="25">
        <v>292.89999999999998</v>
      </c>
      <c r="H17" s="24" t="s">
        <v>19</v>
      </c>
      <c r="I17" s="42" t="s">
        <v>199</v>
      </c>
    </row>
    <row r="18" spans="2:9" ht="12.75">
      <c r="B18" s="22" t="s">
        <v>200</v>
      </c>
      <c r="C18" s="40" t="s">
        <v>201</v>
      </c>
      <c r="D18" s="41" t="s">
        <v>202</v>
      </c>
      <c r="E18" s="34" t="s">
        <v>13</v>
      </c>
      <c r="F18" s="25">
        <v>250</v>
      </c>
      <c r="G18" s="25">
        <v>168.8</v>
      </c>
      <c r="H18" s="34" t="s">
        <v>12</v>
      </c>
      <c r="I18" s="42" t="s">
        <v>14</v>
      </c>
    </row>
    <row r="19" spans="2:9" ht="12.75">
      <c r="B19" s="22" t="s">
        <v>203</v>
      </c>
      <c r="C19" s="40" t="s">
        <v>201</v>
      </c>
      <c r="D19" s="41" t="s">
        <v>204</v>
      </c>
      <c r="E19" s="34" t="s">
        <v>205</v>
      </c>
      <c r="F19" s="25">
        <v>300</v>
      </c>
      <c r="G19" s="25">
        <v>134.9</v>
      </c>
      <c r="H19" s="34" t="s">
        <v>12</v>
      </c>
      <c r="I19" s="42" t="s">
        <v>206</v>
      </c>
    </row>
    <row r="20" spans="2:9" ht="12.75">
      <c r="B20" s="22" t="s">
        <v>207</v>
      </c>
      <c r="C20" s="40" t="s">
        <v>201</v>
      </c>
      <c r="D20" s="41" t="s">
        <v>208</v>
      </c>
      <c r="E20" s="34" t="s">
        <v>209</v>
      </c>
      <c r="F20" s="25">
        <v>450</v>
      </c>
      <c r="G20" s="25">
        <v>242.9</v>
      </c>
      <c r="H20" s="24" t="s">
        <v>19</v>
      </c>
      <c r="I20" s="42" t="s">
        <v>210</v>
      </c>
    </row>
    <row r="21" spans="2:9" ht="12.75">
      <c r="B21" s="22" t="s">
        <v>211</v>
      </c>
      <c r="C21" s="40" t="s">
        <v>201</v>
      </c>
      <c r="D21" s="41" t="s">
        <v>212</v>
      </c>
      <c r="E21" s="34" t="s">
        <v>205</v>
      </c>
      <c r="F21" s="25">
        <v>142.9</v>
      </c>
      <c r="G21" s="25">
        <v>142.9</v>
      </c>
      <c r="H21" s="34" t="s">
        <v>12</v>
      </c>
      <c r="I21" s="42" t="s">
        <v>213</v>
      </c>
    </row>
    <row r="22" spans="2:9" ht="12.75">
      <c r="B22" s="22" t="s">
        <v>214</v>
      </c>
      <c r="C22" s="40" t="s">
        <v>201</v>
      </c>
      <c r="D22" s="41" t="s">
        <v>215</v>
      </c>
      <c r="E22" s="34" t="s">
        <v>205</v>
      </c>
      <c r="F22" s="25">
        <v>200</v>
      </c>
      <c r="G22" s="25">
        <v>49.9</v>
      </c>
      <c r="H22" s="50" t="s">
        <v>152</v>
      </c>
      <c r="I22" s="42" t="s">
        <v>216</v>
      </c>
    </row>
    <row r="23" spans="2:9" ht="12.75">
      <c r="B23" s="22" t="s">
        <v>214</v>
      </c>
      <c r="C23" s="40" t="s">
        <v>201</v>
      </c>
      <c r="D23" s="41" t="s">
        <v>217</v>
      </c>
      <c r="E23" s="34" t="s">
        <v>205</v>
      </c>
      <c r="F23" s="25">
        <v>200</v>
      </c>
      <c r="G23" s="25">
        <v>49.9</v>
      </c>
      <c r="H23" s="50" t="s">
        <v>152</v>
      </c>
      <c r="I23" s="42" t="s">
        <v>218</v>
      </c>
    </row>
    <row r="24" spans="2:9" ht="12.75">
      <c r="B24" s="22" t="s">
        <v>219</v>
      </c>
      <c r="C24" s="40" t="s">
        <v>220</v>
      </c>
      <c r="D24" s="41" t="s">
        <v>16</v>
      </c>
      <c r="E24" s="34" t="s">
        <v>13</v>
      </c>
      <c r="F24" s="25">
        <v>175</v>
      </c>
      <c r="G24" s="25">
        <v>88.9</v>
      </c>
      <c r="H24" s="24" t="s">
        <v>19</v>
      </c>
      <c r="I24" s="42" t="s">
        <v>221</v>
      </c>
    </row>
    <row r="25" spans="2:9" ht="12.75">
      <c r="B25" s="22" t="s">
        <v>222</v>
      </c>
      <c r="C25" s="40" t="s">
        <v>220</v>
      </c>
      <c r="D25" s="41" t="s">
        <v>223</v>
      </c>
      <c r="E25" s="34" t="s">
        <v>205</v>
      </c>
      <c r="F25" s="25">
        <v>250</v>
      </c>
      <c r="G25" s="25">
        <v>88.9</v>
      </c>
      <c r="H25" s="34" t="s">
        <v>12</v>
      </c>
      <c r="I25" s="42" t="s">
        <v>224</v>
      </c>
    </row>
    <row r="26" spans="2:9" ht="12.75">
      <c r="B26" s="22" t="s">
        <v>225</v>
      </c>
      <c r="C26" s="40" t="s">
        <v>220</v>
      </c>
      <c r="D26" s="41" t="s">
        <v>226</v>
      </c>
      <c r="E26" s="34" t="s">
        <v>205</v>
      </c>
      <c r="F26" s="25">
        <v>180</v>
      </c>
      <c r="G26" s="25">
        <v>122.9</v>
      </c>
      <c r="H26" s="24" t="s">
        <v>19</v>
      </c>
      <c r="I26" s="42" t="s">
        <v>227</v>
      </c>
    </row>
    <row r="27" spans="2:9" ht="12.75">
      <c r="B27" s="22" t="s">
        <v>228</v>
      </c>
      <c r="C27" s="40" t="s">
        <v>229</v>
      </c>
      <c r="D27" s="41" t="s">
        <v>230</v>
      </c>
      <c r="E27" s="34" t="s">
        <v>15</v>
      </c>
      <c r="F27" s="25">
        <v>96</v>
      </c>
      <c r="G27" s="25">
        <v>62.01</v>
      </c>
      <c r="H27" s="24" t="s">
        <v>19</v>
      </c>
      <c r="I27" s="42" t="s">
        <v>231</v>
      </c>
    </row>
    <row r="28" spans="2:9" ht="12.75">
      <c r="B28" s="22" t="s">
        <v>232</v>
      </c>
      <c r="C28" s="40" t="s">
        <v>233</v>
      </c>
      <c r="D28" s="41" t="s">
        <v>234</v>
      </c>
      <c r="E28" s="34" t="s">
        <v>235</v>
      </c>
      <c r="F28" s="25">
        <v>400</v>
      </c>
      <c r="G28" s="25">
        <v>239.31</v>
      </c>
      <c r="H28" s="34" t="s">
        <v>12</v>
      </c>
      <c r="I28" s="42" t="s">
        <v>236</v>
      </c>
    </row>
    <row r="29" spans="2:9" ht="12.75">
      <c r="B29" s="22" t="s">
        <v>237</v>
      </c>
      <c r="C29" s="40" t="s">
        <v>233</v>
      </c>
      <c r="D29" s="41" t="s">
        <v>238</v>
      </c>
      <c r="E29" s="34" t="s">
        <v>205</v>
      </c>
      <c r="F29" s="25">
        <v>150</v>
      </c>
      <c r="G29" s="25">
        <v>80.91</v>
      </c>
      <c r="H29" s="34" t="s">
        <v>12</v>
      </c>
      <c r="I29" s="42" t="s">
        <v>239</v>
      </c>
    </row>
    <row r="30" spans="2:9" ht="12.75">
      <c r="B30" s="22" t="s">
        <v>240</v>
      </c>
      <c r="C30" s="40" t="s">
        <v>241</v>
      </c>
      <c r="D30" s="41" t="s">
        <v>242</v>
      </c>
      <c r="E30" s="34" t="s">
        <v>205</v>
      </c>
      <c r="F30" s="25">
        <v>185.91</v>
      </c>
      <c r="G30" s="25">
        <v>185.91</v>
      </c>
      <c r="H30" s="34" t="s">
        <v>12</v>
      </c>
      <c r="I30" s="42" t="s">
        <v>243</v>
      </c>
    </row>
    <row r="31" spans="2:9" ht="12.75">
      <c r="B31" s="22" t="s">
        <v>244</v>
      </c>
      <c r="C31" s="40" t="s">
        <v>241</v>
      </c>
      <c r="D31" s="41" t="s">
        <v>245</v>
      </c>
      <c r="E31" s="34" t="s">
        <v>22</v>
      </c>
      <c r="F31" s="25">
        <v>63.9</v>
      </c>
      <c r="G31" s="25">
        <v>63.9</v>
      </c>
      <c r="H31" s="34" t="s">
        <v>175</v>
      </c>
      <c r="I31" s="42" t="s">
        <v>246</v>
      </c>
    </row>
    <row r="32" spans="2:9" ht="12.75">
      <c r="B32" s="22" t="s">
        <v>247</v>
      </c>
      <c r="C32" s="40" t="s">
        <v>241</v>
      </c>
      <c r="D32" s="41" t="s">
        <v>248</v>
      </c>
      <c r="E32" s="34" t="s">
        <v>22</v>
      </c>
      <c r="F32" s="25">
        <v>160</v>
      </c>
      <c r="G32" s="25">
        <v>57.9</v>
      </c>
      <c r="H32" s="24" t="s">
        <v>19</v>
      </c>
      <c r="I32" s="42" t="s">
        <v>249</v>
      </c>
    </row>
    <row r="33" spans="2:9" ht="12.75">
      <c r="B33" s="22" t="s">
        <v>250</v>
      </c>
      <c r="C33" s="40" t="s">
        <v>251</v>
      </c>
      <c r="D33" s="41" t="s">
        <v>252</v>
      </c>
      <c r="E33" s="34" t="s">
        <v>205</v>
      </c>
      <c r="F33" s="25">
        <v>250</v>
      </c>
      <c r="G33" s="25">
        <v>134.9</v>
      </c>
      <c r="H33" s="34" t="s">
        <v>12</v>
      </c>
      <c r="I33" s="42" t="s">
        <v>253</v>
      </c>
    </row>
    <row r="34" spans="2:9" ht="12.75">
      <c r="B34" s="22" t="s">
        <v>254</v>
      </c>
      <c r="C34" s="40" t="s">
        <v>251</v>
      </c>
      <c r="D34" s="41" t="s">
        <v>255</v>
      </c>
      <c r="E34" s="34" t="s">
        <v>205</v>
      </c>
      <c r="F34" s="25">
        <v>74.900000000000006</v>
      </c>
      <c r="G34" s="25">
        <v>74.900000000000006</v>
      </c>
      <c r="H34" s="34" t="s">
        <v>12</v>
      </c>
      <c r="I34" s="42" t="s">
        <v>256</v>
      </c>
    </row>
    <row r="35" spans="2:9" ht="12.75">
      <c r="B35" s="22" t="s">
        <v>257</v>
      </c>
      <c r="C35" s="40" t="s">
        <v>251</v>
      </c>
      <c r="D35" s="41" t="s">
        <v>258</v>
      </c>
      <c r="E35" s="34" t="s">
        <v>15</v>
      </c>
      <c r="F35" s="25">
        <v>300</v>
      </c>
      <c r="G35" s="25">
        <v>219.9</v>
      </c>
      <c r="H35" s="34" t="s">
        <v>175</v>
      </c>
      <c r="I35" s="42" t="s">
        <v>259</v>
      </c>
    </row>
    <row r="36" spans="2:9" ht="12.75">
      <c r="B36" s="22" t="s">
        <v>260</v>
      </c>
      <c r="C36" s="40" t="s">
        <v>261</v>
      </c>
      <c r="D36" s="41" t="s">
        <v>262</v>
      </c>
      <c r="E36" s="34" t="s">
        <v>15</v>
      </c>
      <c r="F36" s="25">
        <v>265.89999999999998</v>
      </c>
      <c r="G36" s="25">
        <v>265.89999999999998</v>
      </c>
      <c r="H36" s="34" t="s">
        <v>12</v>
      </c>
      <c r="I36" s="42" t="s">
        <v>263</v>
      </c>
    </row>
    <row r="37" spans="2:9" ht="12.75">
      <c r="B37" s="22" t="s">
        <v>264</v>
      </c>
      <c r="C37" s="40" t="s">
        <v>261</v>
      </c>
      <c r="D37" s="41" t="s">
        <v>265</v>
      </c>
      <c r="E37" s="34" t="s">
        <v>205</v>
      </c>
      <c r="F37" s="25">
        <v>289.89999999999998</v>
      </c>
      <c r="G37" s="25">
        <v>289.89999999999998</v>
      </c>
      <c r="H37" s="34" t="s">
        <v>12</v>
      </c>
      <c r="I37" s="42" t="s">
        <v>266</v>
      </c>
    </row>
    <row r="38" spans="2:9" ht="12.75">
      <c r="B38" s="22"/>
      <c r="C38" s="40"/>
      <c r="D38" s="41"/>
      <c r="E38" s="34"/>
      <c r="F38" s="25"/>
      <c r="G38" s="25"/>
      <c r="H38" s="34"/>
      <c r="I38" s="43"/>
    </row>
    <row r="39" spans="2:9" ht="12.75">
      <c r="B39" s="22"/>
      <c r="C39" s="40"/>
      <c r="D39" s="41"/>
      <c r="E39" s="34"/>
      <c r="F39" s="25"/>
      <c r="G39" s="25"/>
      <c r="H39" s="34"/>
      <c r="I39" s="43"/>
    </row>
    <row r="40" spans="2:9" ht="12.75">
      <c r="B40" s="22"/>
      <c r="C40" s="40"/>
      <c r="D40" s="41"/>
      <c r="E40" s="24"/>
      <c r="F40" s="25"/>
      <c r="G40" s="25"/>
      <c r="H40" s="24"/>
      <c r="I40" s="43"/>
    </row>
    <row r="41" spans="2:9" ht="12.75">
      <c r="B41" s="33"/>
      <c r="C41" s="37"/>
      <c r="D41" s="291" t="s">
        <v>9</v>
      </c>
      <c r="E41" s="283"/>
      <c r="F41" s="32">
        <f>SUM(F4:F40)</f>
        <v>7390.409999999998</v>
      </c>
      <c r="G41" s="44"/>
      <c r="H41" s="33"/>
      <c r="I41" s="33"/>
    </row>
    <row r="42" spans="2:9" ht="12.75">
      <c r="B42" s="29"/>
      <c r="C42" s="37"/>
      <c r="D42" s="291" t="s">
        <v>10</v>
      </c>
      <c r="E42" s="283"/>
      <c r="F42" s="45">
        <f>SUM(G4:G40)</f>
        <v>4847.7100000000009</v>
      </c>
      <c r="G42" s="29"/>
      <c r="H42" s="29"/>
      <c r="I42" s="29"/>
    </row>
    <row r="43" spans="2:9" ht="12.75">
      <c r="B43" s="29"/>
      <c r="C43" s="37"/>
      <c r="D43" s="291" t="s">
        <v>11</v>
      </c>
      <c r="E43" s="283"/>
      <c r="F43" s="38">
        <f>COUNTIF(B4:B1010,"&lt;&gt;")</f>
        <v>34</v>
      </c>
      <c r="G43" s="29"/>
      <c r="H43" s="29"/>
      <c r="I43" s="29"/>
    </row>
  </sheetData>
  <mergeCells count="5">
    <mergeCell ref="B1:I1"/>
    <mergeCell ref="B2:I2"/>
    <mergeCell ref="D41:E41"/>
    <mergeCell ref="D42:E42"/>
    <mergeCell ref="D43:E43"/>
  </mergeCells>
  <hyperlinks>
    <hyperlink ref="I4" r:id="rId1" xr:uid="{00000000-0004-0000-0500-000000000000}"/>
    <hyperlink ref="I5" r:id="rId2" xr:uid="{00000000-0004-0000-0500-000001000000}"/>
    <hyperlink ref="I6" r:id="rId3" xr:uid="{00000000-0004-0000-0500-000002000000}"/>
    <hyperlink ref="I7" r:id="rId4" xr:uid="{00000000-0004-0000-0500-000003000000}"/>
    <hyperlink ref="I8" r:id="rId5" xr:uid="{00000000-0004-0000-0500-000004000000}"/>
    <hyperlink ref="I9" r:id="rId6" xr:uid="{00000000-0004-0000-0500-000005000000}"/>
    <hyperlink ref="I10" r:id="rId7" xr:uid="{00000000-0004-0000-0500-000006000000}"/>
    <hyperlink ref="I11" r:id="rId8" xr:uid="{00000000-0004-0000-0500-000007000000}"/>
    <hyperlink ref="I12" r:id="rId9" xr:uid="{00000000-0004-0000-0500-000008000000}"/>
    <hyperlink ref="I13" r:id="rId10" xr:uid="{00000000-0004-0000-0500-000009000000}"/>
    <hyperlink ref="I14" r:id="rId11" xr:uid="{00000000-0004-0000-0500-00000A000000}"/>
    <hyperlink ref="I15" r:id="rId12" xr:uid="{00000000-0004-0000-0500-00000B000000}"/>
    <hyperlink ref="I16" r:id="rId13" xr:uid="{00000000-0004-0000-0500-00000C000000}"/>
    <hyperlink ref="I17" r:id="rId14" xr:uid="{00000000-0004-0000-0500-00000D000000}"/>
    <hyperlink ref="I18" r:id="rId15" xr:uid="{00000000-0004-0000-0500-00000E000000}"/>
    <hyperlink ref="I19" r:id="rId16" xr:uid="{00000000-0004-0000-0500-00000F000000}"/>
    <hyperlink ref="I20" r:id="rId17" xr:uid="{00000000-0004-0000-0500-000010000000}"/>
    <hyperlink ref="I21" r:id="rId18" xr:uid="{00000000-0004-0000-0500-000011000000}"/>
    <hyperlink ref="I22" r:id="rId19" xr:uid="{00000000-0004-0000-0500-000012000000}"/>
    <hyperlink ref="I23" r:id="rId20" xr:uid="{00000000-0004-0000-0500-000013000000}"/>
    <hyperlink ref="I24" r:id="rId21" xr:uid="{00000000-0004-0000-0500-000014000000}"/>
    <hyperlink ref="I25" r:id="rId22" xr:uid="{00000000-0004-0000-0500-000015000000}"/>
    <hyperlink ref="I26" r:id="rId23" xr:uid="{00000000-0004-0000-0500-000016000000}"/>
    <hyperlink ref="I27" r:id="rId24" xr:uid="{00000000-0004-0000-0500-000017000000}"/>
    <hyperlink ref="I28" r:id="rId25" xr:uid="{00000000-0004-0000-0500-000018000000}"/>
    <hyperlink ref="I29" r:id="rId26" xr:uid="{00000000-0004-0000-0500-000019000000}"/>
    <hyperlink ref="I30" r:id="rId27" xr:uid="{00000000-0004-0000-0500-00001A000000}"/>
    <hyperlink ref="I31" r:id="rId28" xr:uid="{00000000-0004-0000-0500-00001B000000}"/>
    <hyperlink ref="I32" r:id="rId29" xr:uid="{00000000-0004-0000-0500-00001C000000}"/>
    <hyperlink ref="I33" r:id="rId30" xr:uid="{00000000-0004-0000-0500-00001D000000}"/>
    <hyperlink ref="I34" r:id="rId31" xr:uid="{00000000-0004-0000-0500-00001E000000}"/>
    <hyperlink ref="I35" r:id="rId32" xr:uid="{00000000-0004-0000-0500-00001F000000}"/>
    <hyperlink ref="I36" r:id="rId33" xr:uid="{00000000-0004-0000-0500-000020000000}"/>
    <hyperlink ref="I37" r:id="rId34" xr:uid="{00000000-0004-0000-0500-000021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I35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39.85546875" customWidth="1"/>
    <col min="2" max="2" width="13.85546875" customWidth="1"/>
    <col min="3" max="3" width="30.42578125" customWidth="1"/>
    <col min="4" max="4" width="25.85546875" customWidth="1"/>
    <col min="6" max="6" width="13.140625" customWidth="1"/>
    <col min="7" max="7" width="16" customWidth="1"/>
    <col min="8" max="8" width="14.5703125" customWidth="1"/>
    <col min="9" max="9" width="20" customWidth="1"/>
  </cols>
  <sheetData>
    <row r="1" spans="1:9" ht="15">
      <c r="A1" s="289" t="s">
        <v>271</v>
      </c>
      <c r="B1" s="285"/>
      <c r="C1" s="285"/>
      <c r="D1" s="285"/>
      <c r="E1" s="285"/>
      <c r="F1" s="285"/>
      <c r="G1" s="285"/>
      <c r="H1" s="285"/>
      <c r="I1" s="292"/>
    </row>
    <row r="2" spans="1:9" ht="8.25" customHeight="1">
      <c r="A2" s="290"/>
      <c r="B2" s="287"/>
      <c r="C2" s="287"/>
      <c r="D2" s="287"/>
      <c r="E2" s="287"/>
      <c r="F2" s="287"/>
      <c r="G2" s="287"/>
      <c r="H2" s="287"/>
      <c r="I2" s="283"/>
    </row>
    <row r="3" spans="1:9" ht="12.75">
      <c r="A3" s="30" t="s">
        <v>0</v>
      </c>
      <c r="B3" s="31" t="s">
        <v>1</v>
      </c>
      <c r="C3" s="31" t="s">
        <v>272</v>
      </c>
      <c r="D3" s="31" t="s">
        <v>273</v>
      </c>
      <c r="E3" s="32" t="s">
        <v>4</v>
      </c>
      <c r="F3" s="39" t="s">
        <v>5</v>
      </c>
      <c r="G3" s="31" t="s">
        <v>151</v>
      </c>
      <c r="H3" s="31" t="s">
        <v>147</v>
      </c>
      <c r="I3" s="54" t="s">
        <v>7</v>
      </c>
    </row>
    <row r="4" spans="1:9" ht="15.75" customHeight="1">
      <c r="A4" s="36" t="s">
        <v>274</v>
      </c>
      <c r="B4" s="51">
        <v>45139</v>
      </c>
      <c r="C4" s="34" t="s">
        <v>275</v>
      </c>
      <c r="D4" s="34" t="s">
        <v>276</v>
      </c>
      <c r="E4" s="35">
        <v>150</v>
      </c>
      <c r="F4" s="35">
        <v>101.9</v>
      </c>
      <c r="G4" s="34" t="s">
        <v>34</v>
      </c>
      <c r="H4" s="34" t="s">
        <v>277</v>
      </c>
      <c r="I4" s="55" t="s">
        <v>278</v>
      </c>
    </row>
    <row r="5" spans="1:9" ht="15.75" customHeight="1">
      <c r="A5" s="22" t="s">
        <v>279</v>
      </c>
      <c r="B5" s="23">
        <v>45140</v>
      </c>
      <c r="C5" s="24" t="s">
        <v>280</v>
      </c>
      <c r="D5" s="24" t="s">
        <v>281</v>
      </c>
      <c r="E5" s="25">
        <v>943.9</v>
      </c>
      <c r="F5" s="25">
        <v>998.9</v>
      </c>
      <c r="G5" s="24" t="s">
        <v>34</v>
      </c>
      <c r="H5" s="34" t="s">
        <v>277</v>
      </c>
      <c r="I5" s="55" t="s">
        <v>282</v>
      </c>
    </row>
    <row r="6" spans="1:9" ht="15.75" customHeight="1">
      <c r="A6" s="36" t="s">
        <v>283</v>
      </c>
      <c r="B6" s="51">
        <v>45142</v>
      </c>
      <c r="C6" s="34" t="s">
        <v>284</v>
      </c>
      <c r="D6" s="24" t="s">
        <v>13</v>
      </c>
      <c r="E6" s="35">
        <v>380</v>
      </c>
      <c r="F6" s="35">
        <v>237.9</v>
      </c>
      <c r="G6" s="34" t="s">
        <v>56</v>
      </c>
      <c r="H6" s="34" t="s">
        <v>277</v>
      </c>
      <c r="I6" s="55" t="s">
        <v>285</v>
      </c>
    </row>
    <row r="7" spans="1:9" ht="15.75" customHeight="1">
      <c r="A7" s="36" t="s">
        <v>286</v>
      </c>
      <c r="B7" s="51">
        <v>45142</v>
      </c>
      <c r="C7" s="34" t="s">
        <v>287</v>
      </c>
      <c r="D7" s="34" t="s">
        <v>288</v>
      </c>
      <c r="E7" s="35">
        <v>535.9</v>
      </c>
      <c r="F7" s="35">
        <v>535.9</v>
      </c>
      <c r="G7" s="24" t="s">
        <v>34</v>
      </c>
      <c r="H7" s="34" t="s">
        <v>289</v>
      </c>
      <c r="I7" s="55" t="s">
        <v>268</v>
      </c>
    </row>
    <row r="8" spans="1:9" ht="15.75" customHeight="1">
      <c r="A8" s="36" t="s">
        <v>290</v>
      </c>
      <c r="B8" s="51">
        <v>45142</v>
      </c>
      <c r="C8" s="34" t="s">
        <v>291</v>
      </c>
      <c r="D8" s="24" t="s">
        <v>292</v>
      </c>
      <c r="E8" s="35">
        <v>380</v>
      </c>
      <c r="F8" s="35">
        <v>307.01</v>
      </c>
      <c r="G8" s="34" t="s">
        <v>293</v>
      </c>
      <c r="H8" s="34" t="s">
        <v>289</v>
      </c>
      <c r="I8" s="55" t="s">
        <v>294</v>
      </c>
    </row>
    <row r="9" spans="1:9" ht="15.75" customHeight="1">
      <c r="A9" s="52" t="s">
        <v>295</v>
      </c>
      <c r="B9" s="23">
        <v>45145</v>
      </c>
      <c r="C9" s="34" t="s">
        <v>296</v>
      </c>
      <c r="D9" s="34" t="s">
        <v>288</v>
      </c>
      <c r="E9" s="25">
        <v>277.89999999999998</v>
      </c>
      <c r="F9" s="25">
        <v>277.89999999999998</v>
      </c>
      <c r="G9" s="34" t="s">
        <v>152</v>
      </c>
      <c r="H9" s="34" t="s">
        <v>277</v>
      </c>
      <c r="I9" s="55" t="s">
        <v>297</v>
      </c>
    </row>
    <row r="10" spans="1:9" ht="15.75" customHeight="1">
      <c r="A10" s="53" t="s">
        <v>298</v>
      </c>
      <c r="B10" s="23">
        <v>45145</v>
      </c>
      <c r="C10" s="34" t="s">
        <v>299</v>
      </c>
      <c r="D10" s="34" t="s">
        <v>288</v>
      </c>
      <c r="E10" s="35">
        <v>65</v>
      </c>
      <c r="F10" s="35">
        <v>65</v>
      </c>
      <c r="G10" s="34" t="s">
        <v>152</v>
      </c>
      <c r="H10" s="34" t="s">
        <v>277</v>
      </c>
      <c r="I10" s="55" t="s">
        <v>300</v>
      </c>
    </row>
    <row r="11" spans="1:9" ht="15.75" customHeight="1">
      <c r="A11" s="53" t="s">
        <v>301</v>
      </c>
      <c r="B11" s="23">
        <v>45145</v>
      </c>
      <c r="C11" s="34" t="s">
        <v>302</v>
      </c>
      <c r="D11" s="34" t="s">
        <v>288</v>
      </c>
      <c r="E11" s="35">
        <v>294.89999999999998</v>
      </c>
      <c r="F11" s="35">
        <v>294.89999999999998</v>
      </c>
      <c r="G11" s="34" t="s">
        <v>152</v>
      </c>
      <c r="H11" s="34" t="s">
        <v>277</v>
      </c>
      <c r="I11" s="55" t="s">
        <v>303</v>
      </c>
    </row>
    <row r="12" spans="1:9" ht="15.75" customHeight="1">
      <c r="A12" s="36" t="s">
        <v>150</v>
      </c>
      <c r="B12" s="51">
        <v>45146</v>
      </c>
      <c r="C12" s="34" t="s">
        <v>304</v>
      </c>
      <c r="D12" s="24" t="s">
        <v>15</v>
      </c>
      <c r="E12" s="35">
        <v>504.45</v>
      </c>
      <c r="F12" s="35">
        <v>504.45</v>
      </c>
      <c r="G12" s="34" t="s">
        <v>152</v>
      </c>
      <c r="H12" s="34" t="s">
        <v>289</v>
      </c>
      <c r="I12" s="55" t="s">
        <v>305</v>
      </c>
    </row>
    <row r="13" spans="1:9" ht="15.75" customHeight="1">
      <c r="A13" s="36" t="s">
        <v>306</v>
      </c>
      <c r="B13" s="51">
        <v>45146</v>
      </c>
      <c r="C13" s="34" t="s">
        <v>307</v>
      </c>
      <c r="D13" s="24" t="s">
        <v>292</v>
      </c>
      <c r="E13" s="35">
        <v>150</v>
      </c>
      <c r="F13" s="35">
        <v>65.900000000000006</v>
      </c>
      <c r="G13" s="34" t="s">
        <v>293</v>
      </c>
      <c r="H13" s="34" t="s">
        <v>289</v>
      </c>
      <c r="I13" s="55" t="s">
        <v>308</v>
      </c>
    </row>
    <row r="14" spans="1:9" ht="15.75" customHeight="1">
      <c r="A14" s="36" t="s">
        <v>148</v>
      </c>
      <c r="B14" s="51">
        <v>45148</v>
      </c>
      <c r="C14" s="34" t="s">
        <v>309</v>
      </c>
      <c r="D14" s="24" t="s">
        <v>15</v>
      </c>
      <c r="E14" s="35">
        <v>180</v>
      </c>
      <c r="F14" s="35">
        <v>180</v>
      </c>
      <c r="G14" s="34" t="s">
        <v>152</v>
      </c>
      <c r="H14" s="34" t="s">
        <v>277</v>
      </c>
      <c r="I14" s="56"/>
    </row>
    <row r="15" spans="1:9" ht="15.75" customHeight="1">
      <c r="A15" s="15" t="s">
        <v>40</v>
      </c>
      <c r="B15" s="51">
        <v>45149</v>
      </c>
      <c r="C15" s="15" t="s">
        <v>275</v>
      </c>
      <c r="D15" s="34" t="s">
        <v>15</v>
      </c>
      <c r="E15" s="35">
        <v>100</v>
      </c>
      <c r="F15" s="35">
        <v>77.31</v>
      </c>
      <c r="G15" s="34" t="s">
        <v>293</v>
      </c>
      <c r="H15" s="34" t="s">
        <v>277</v>
      </c>
      <c r="I15" s="55" t="s">
        <v>310</v>
      </c>
    </row>
    <row r="16" spans="1:9" ht="15.75" customHeight="1">
      <c r="A16" s="15" t="s">
        <v>311</v>
      </c>
      <c r="B16" s="51">
        <v>45154</v>
      </c>
      <c r="C16" s="34" t="s">
        <v>312</v>
      </c>
      <c r="D16" s="34" t="s">
        <v>288</v>
      </c>
      <c r="E16" s="35">
        <v>150</v>
      </c>
      <c r="F16" s="35">
        <v>79.709999999999994</v>
      </c>
      <c r="G16" s="34" t="s">
        <v>293</v>
      </c>
      <c r="H16" s="34" t="s">
        <v>277</v>
      </c>
      <c r="I16" s="55" t="s">
        <v>313</v>
      </c>
    </row>
    <row r="17" spans="1:9" ht="15.75" customHeight="1">
      <c r="A17" s="15" t="s">
        <v>314</v>
      </c>
      <c r="B17" s="51">
        <v>45155</v>
      </c>
      <c r="C17" s="34" t="s">
        <v>315</v>
      </c>
      <c r="D17" s="34" t="s">
        <v>288</v>
      </c>
      <c r="E17" s="35">
        <v>585</v>
      </c>
      <c r="F17" s="35">
        <v>530.91</v>
      </c>
      <c r="G17" s="24" t="s">
        <v>34</v>
      </c>
      <c r="H17" s="34" t="s">
        <v>277</v>
      </c>
      <c r="I17" s="55" t="s">
        <v>316</v>
      </c>
    </row>
    <row r="18" spans="1:9" ht="15.75" customHeight="1">
      <c r="A18" s="57" t="s">
        <v>317</v>
      </c>
      <c r="B18" s="51">
        <v>45156</v>
      </c>
      <c r="C18" s="34" t="s">
        <v>318</v>
      </c>
      <c r="D18" s="34" t="s">
        <v>288</v>
      </c>
      <c r="E18" s="35">
        <v>300</v>
      </c>
      <c r="F18" s="35">
        <v>272.89999999999998</v>
      </c>
      <c r="G18" s="24" t="s">
        <v>34</v>
      </c>
      <c r="H18" s="34" t="s">
        <v>277</v>
      </c>
      <c r="I18" s="55" t="s">
        <v>319</v>
      </c>
    </row>
    <row r="19" spans="1:9" ht="15.75" customHeight="1">
      <c r="A19" s="57" t="s">
        <v>320</v>
      </c>
      <c r="B19" s="51">
        <v>45159</v>
      </c>
      <c r="C19" s="34" t="s">
        <v>321</v>
      </c>
      <c r="D19" s="34" t="s">
        <v>288</v>
      </c>
      <c r="E19" s="35">
        <v>150</v>
      </c>
      <c r="F19" s="35">
        <v>59.9</v>
      </c>
      <c r="G19" s="24" t="s">
        <v>34</v>
      </c>
      <c r="H19" s="34" t="s">
        <v>289</v>
      </c>
      <c r="I19" s="55" t="s">
        <v>322</v>
      </c>
    </row>
    <row r="20" spans="1:9" ht="12.75">
      <c r="A20" s="36" t="s">
        <v>323</v>
      </c>
      <c r="B20" s="51">
        <v>45159</v>
      </c>
      <c r="C20" s="34" t="s">
        <v>324</v>
      </c>
      <c r="D20" s="34" t="s">
        <v>13</v>
      </c>
      <c r="E20" s="35">
        <v>154.9</v>
      </c>
      <c r="F20" s="35">
        <v>154.9</v>
      </c>
      <c r="G20" s="24" t="s">
        <v>34</v>
      </c>
      <c r="H20" s="34" t="s">
        <v>277</v>
      </c>
      <c r="I20" s="55" t="s">
        <v>325</v>
      </c>
    </row>
    <row r="21" spans="1:9" ht="12.75">
      <c r="A21" s="36" t="s">
        <v>326</v>
      </c>
      <c r="B21" s="51">
        <v>45159</v>
      </c>
      <c r="C21" s="34" t="s">
        <v>327</v>
      </c>
      <c r="D21" s="34" t="s">
        <v>288</v>
      </c>
      <c r="E21" s="35">
        <v>200</v>
      </c>
      <c r="F21" s="35">
        <v>90.9</v>
      </c>
      <c r="G21" s="24" t="s">
        <v>34</v>
      </c>
      <c r="H21" s="34" t="s">
        <v>289</v>
      </c>
      <c r="I21" s="55" t="s">
        <v>328</v>
      </c>
    </row>
    <row r="22" spans="1:9" ht="12.75">
      <c r="A22" s="36" t="s">
        <v>269</v>
      </c>
      <c r="B22" s="51">
        <v>45161</v>
      </c>
      <c r="C22" s="34" t="s">
        <v>329</v>
      </c>
      <c r="D22" s="58" t="s">
        <v>330</v>
      </c>
      <c r="E22" s="35">
        <v>0</v>
      </c>
      <c r="F22" s="35">
        <v>115</v>
      </c>
      <c r="G22" s="59"/>
      <c r="H22" s="34" t="s">
        <v>289</v>
      </c>
      <c r="I22" s="60"/>
    </row>
    <row r="23" spans="1:9" ht="12.75">
      <c r="A23" s="36" t="s">
        <v>331</v>
      </c>
      <c r="B23" s="51">
        <v>45162</v>
      </c>
      <c r="C23" s="34" t="s">
        <v>332</v>
      </c>
      <c r="D23" s="34" t="s">
        <v>333</v>
      </c>
      <c r="E23" s="35">
        <v>200</v>
      </c>
      <c r="F23" s="35">
        <v>98.9</v>
      </c>
      <c r="G23" s="24" t="s">
        <v>34</v>
      </c>
      <c r="H23" s="34" t="s">
        <v>289</v>
      </c>
      <c r="I23" s="55" t="s">
        <v>334</v>
      </c>
    </row>
    <row r="24" spans="1:9" ht="14.25">
      <c r="A24" s="16" t="s">
        <v>335</v>
      </c>
      <c r="B24" s="51">
        <v>45163</v>
      </c>
      <c r="C24" s="34" t="s">
        <v>336</v>
      </c>
      <c r="D24" s="34" t="s">
        <v>13</v>
      </c>
      <c r="E24" s="35">
        <v>59.9</v>
      </c>
      <c r="F24" s="35">
        <v>59.9</v>
      </c>
      <c r="G24" s="24" t="s">
        <v>337</v>
      </c>
      <c r="H24" s="34" t="s">
        <v>277</v>
      </c>
      <c r="I24" s="55" t="s">
        <v>338</v>
      </c>
    </row>
    <row r="25" spans="1:9" ht="12.75">
      <c r="A25" s="36" t="s">
        <v>339</v>
      </c>
      <c r="B25" s="51">
        <v>45164</v>
      </c>
      <c r="C25" s="34" t="s">
        <v>340</v>
      </c>
      <c r="D25" s="34" t="s">
        <v>288</v>
      </c>
      <c r="E25" s="35">
        <v>280</v>
      </c>
      <c r="F25" s="35">
        <v>246.9</v>
      </c>
      <c r="G25" s="24" t="s">
        <v>34</v>
      </c>
      <c r="H25" s="34" t="s">
        <v>289</v>
      </c>
      <c r="I25" s="55" t="s">
        <v>341</v>
      </c>
    </row>
    <row r="26" spans="1:9" ht="12.75">
      <c r="A26" s="22" t="s">
        <v>342</v>
      </c>
      <c r="B26" s="23">
        <v>45168</v>
      </c>
      <c r="C26" s="41" t="s">
        <v>343</v>
      </c>
      <c r="D26" s="34" t="s">
        <v>288</v>
      </c>
      <c r="E26" s="25">
        <v>75.900000000000006</v>
      </c>
      <c r="F26" s="25">
        <v>75.900000000000006</v>
      </c>
      <c r="G26" s="34" t="s">
        <v>152</v>
      </c>
      <c r="H26" s="34" t="s">
        <v>289</v>
      </c>
      <c r="I26" s="56"/>
    </row>
    <row r="27" spans="1:9" ht="12.75">
      <c r="A27" s="22" t="s">
        <v>40</v>
      </c>
      <c r="B27" s="23">
        <v>45168</v>
      </c>
      <c r="C27" s="41" t="s">
        <v>344</v>
      </c>
      <c r="D27" s="24" t="s">
        <v>15</v>
      </c>
      <c r="E27" s="25">
        <v>71.900000000000006</v>
      </c>
      <c r="F27" s="25">
        <v>71.900000000000006</v>
      </c>
      <c r="G27" s="34" t="s">
        <v>293</v>
      </c>
      <c r="H27" s="34" t="s">
        <v>277</v>
      </c>
      <c r="I27" s="55" t="s">
        <v>70</v>
      </c>
    </row>
    <row r="28" spans="1:9" ht="12.75">
      <c r="A28" s="22" t="s">
        <v>345</v>
      </c>
      <c r="B28" s="23">
        <v>45168</v>
      </c>
      <c r="C28" s="41" t="s">
        <v>346</v>
      </c>
      <c r="D28" s="34" t="s">
        <v>288</v>
      </c>
      <c r="E28" s="25">
        <v>59.9</v>
      </c>
      <c r="F28" s="25">
        <v>59.9</v>
      </c>
      <c r="G28" s="24" t="s">
        <v>34</v>
      </c>
      <c r="H28" s="34" t="s">
        <v>289</v>
      </c>
      <c r="I28" s="55" t="s">
        <v>347</v>
      </c>
    </row>
    <row r="29" spans="1:9" ht="12.75">
      <c r="A29" s="22" t="s">
        <v>348</v>
      </c>
      <c r="B29" s="23">
        <v>45169</v>
      </c>
      <c r="C29" s="41" t="s">
        <v>349</v>
      </c>
      <c r="D29" s="24" t="s">
        <v>350</v>
      </c>
      <c r="E29" s="25">
        <v>200</v>
      </c>
      <c r="F29" s="25">
        <v>171.9</v>
      </c>
      <c r="G29" s="24" t="s">
        <v>34</v>
      </c>
      <c r="H29" s="34" t="s">
        <v>289</v>
      </c>
      <c r="I29" s="55" t="s">
        <v>351</v>
      </c>
    </row>
    <row r="30" spans="1:9" ht="12.75">
      <c r="A30" s="22" t="s">
        <v>352</v>
      </c>
      <c r="B30" s="23">
        <v>45169</v>
      </c>
      <c r="C30" s="41" t="s">
        <v>353</v>
      </c>
      <c r="D30" s="34" t="s">
        <v>354</v>
      </c>
      <c r="E30" s="25">
        <v>300</v>
      </c>
      <c r="F30" s="25">
        <v>188.9</v>
      </c>
      <c r="G30" s="24" t="s">
        <v>34</v>
      </c>
      <c r="H30" s="34" t="s">
        <v>289</v>
      </c>
      <c r="I30" s="55" t="s">
        <v>355</v>
      </c>
    </row>
    <row r="31" spans="1:9" ht="12.75">
      <c r="A31" s="22" t="s">
        <v>356</v>
      </c>
      <c r="B31" s="23">
        <v>45169</v>
      </c>
      <c r="C31" s="41" t="s">
        <v>357</v>
      </c>
      <c r="D31" s="34" t="s">
        <v>354</v>
      </c>
      <c r="E31" s="25">
        <v>350</v>
      </c>
      <c r="F31" s="25">
        <v>265.41000000000003</v>
      </c>
      <c r="G31" s="24" t="s">
        <v>34</v>
      </c>
      <c r="H31" s="34" t="s">
        <v>289</v>
      </c>
      <c r="I31" s="55" t="s">
        <v>358</v>
      </c>
    </row>
    <row r="33" spans="3:4" ht="12.75">
      <c r="C33" s="61" t="s">
        <v>9</v>
      </c>
      <c r="D33" s="32">
        <f>SUM(E4:E32)</f>
        <v>7099.5499999999984</v>
      </c>
    </row>
    <row r="34" spans="3:4" ht="12.75">
      <c r="C34" s="61" t="s">
        <v>10</v>
      </c>
      <c r="D34" s="45">
        <f>SUM(F3:F26)</f>
        <v>5432.8899999999967</v>
      </c>
    </row>
    <row r="35" spans="3:4" ht="12.75">
      <c r="C35" s="61" t="s">
        <v>11</v>
      </c>
      <c r="D35" s="38">
        <f>COUNTIF(A4:A1002,"&lt;&gt;")</f>
        <v>28</v>
      </c>
    </row>
  </sheetData>
  <mergeCells count="2">
    <mergeCell ref="A1:I1"/>
    <mergeCell ref="A2:I2"/>
  </mergeCells>
  <hyperlinks>
    <hyperlink ref="I4" r:id="rId1" xr:uid="{00000000-0004-0000-0700-000000000000}"/>
    <hyperlink ref="I5" r:id="rId2" xr:uid="{00000000-0004-0000-0700-000001000000}"/>
    <hyperlink ref="I6" r:id="rId3" xr:uid="{00000000-0004-0000-0700-000002000000}"/>
    <hyperlink ref="I7" r:id="rId4" xr:uid="{00000000-0004-0000-0700-000003000000}"/>
    <hyperlink ref="I8" r:id="rId5" xr:uid="{00000000-0004-0000-0700-000004000000}"/>
    <hyperlink ref="I9" r:id="rId6" xr:uid="{00000000-0004-0000-0700-000005000000}"/>
    <hyperlink ref="I10" r:id="rId7" xr:uid="{00000000-0004-0000-0700-000006000000}"/>
    <hyperlink ref="I11" r:id="rId8" xr:uid="{00000000-0004-0000-0700-000007000000}"/>
    <hyperlink ref="I12" r:id="rId9" xr:uid="{00000000-0004-0000-0700-000008000000}"/>
    <hyperlink ref="I13" r:id="rId10" xr:uid="{00000000-0004-0000-0700-000009000000}"/>
    <hyperlink ref="I15" r:id="rId11" xr:uid="{00000000-0004-0000-0700-00000A000000}"/>
    <hyperlink ref="I16" r:id="rId12" xr:uid="{00000000-0004-0000-0700-00000B000000}"/>
    <hyperlink ref="I17" r:id="rId13" xr:uid="{00000000-0004-0000-0700-00000C000000}"/>
    <hyperlink ref="I18" r:id="rId14" xr:uid="{00000000-0004-0000-0700-00000D000000}"/>
    <hyperlink ref="I19" r:id="rId15" xr:uid="{00000000-0004-0000-0700-00000E000000}"/>
    <hyperlink ref="I20" r:id="rId16" xr:uid="{00000000-0004-0000-0700-00000F000000}"/>
    <hyperlink ref="I21" r:id="rId17" xr:uid="{00000000-0004-0000-0700-000010000000}"/>
    <hyperlink ref="I23" r:id="rId18" xr:uid="{00000000-0004-0000-0700-000011000000}"/>
    <hyperlink ref="I24" r:id="rId19" xr:uid="{00000000-0004-0000-0700-000012000000}"/>
    <hyperlink ref="I25" r:id="rId20" xr:uid="{00000000-0004-0000-0700-000013000000}"/>
    <hyperlink ref="I27" r:id="rId21" xr:uid="{00000000-0004-0000-0700-000014000000}"/>
    <hyperlink ref="I28" r:id="rId22" xr:uid="{00000000-0004-0000-0700-000015000000}"/>
    <hyperlink ref="I29" r:id="rId23" xr:uid="{00000000-0004-0000-0700-000016000000}"/>
    <hyperlink ref="I30" r:id="rId24" xr:uid="{00000000-0004-0000-0700-000017000000}"/>
    <hyperlink ref="I31" r:id="rId25" xr:uid="{00000000-0004-0000-0700-000018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H41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40" customWidth="1"/>
    <col min="2" max="2" width="14" customWidth="1"/>
    <col min="3" max="3" width="32.85546875" customWidth="1"/>
    <col min="4" max="4" width="29.42578125" customWidth="1"/>
    <col min="6" max="6" width="13.140625" customWidth="1"/>
    <col min="7" max="7" width="16" customWidth="1"/>
    <col min="8" max="8" width="14.5703125" customWidth="1"/>
  </cols>
  <sheetData>
    <row r="1" spans="1:8" ht="15">
      <c r="A1" s="289" t="s">
        <v>359</v>
      </c>
      <c r="B1" s="285"/>
      <c r="C1" s="285"/>
      <c r="D1" s="285"/>
      <c r="E1" s="285"/>
      <c r="F1" s="285"/>
      <c r="G1" s="285"/>
      <c r="H1" s="292"/>
    </row>
    <row r="2" spans="1:8" ht="8.25" customHeight="1">
      <c r="A2" s="290"/>
      <c r="B2" s="287"/>
      <c r="C2" s="287"/>
      <c r="D2" s="287"/>
      <c r="E2" s="287"/>
      <c r="F2" s="287"/>
      <c r="G2" s="287"/>
      <c r="H2" s="283"/>
    </row>
    <row r="3" spans="1:8" ht="12.75">
      <c r="A3" s="30" t="s">
        <v>0</v>
      </c>
      <c r="B3" s="31" t="s">
        <v>1</v>
      </c>
      <c r="C3" s="31" t="s">
        <v>272</v>
      </c>
      <c r="D3" s="31" t="s">
        <v>273</v>
      </c>
      <c r="E3" s="32" t="s">
        <v>4</v>
      </c>
      <c r="F3" s="45" t="s">
        <v>5</v>
      </c>
      <c r="G3" s="31" t="s">
        <v>151</v>
      </c>
      <c r="H3" s="31" t="s">
        <v>147</v>
      </c>
    </row>
    <row r="4" spans="1:8" ht="12.75">
      <c r="A4" s="22" t="s">
        <v>360</v>
      </c>
      <c r="B4" s="23">
        <v>45110</v>
      </c>
      <c r="C4" s="24" t="s">
        <v>361</v>
      </c>
      <c r="D4" s="24" t="s">
        <v>362</v>
      </c>
      <c r="E4" s="25">
        <v>0</v>
      </c>
      <c r="F4" s="25">
        <v>53.9</v>
      </c>
      <c r="G4" s="24" t="s">
        <v>363</v>
      </c>
      <c r="H4" s="24" t="s">
        <v>364</v>
      </c>
    </row>
    <row r="5" spans="1:8" ht="12.75">
      <c r="A5" s="36" t="s">
        <v>365</v>
      </c>
      <c r="B5" s="51">
        <v>45110</v>
      </c>
      <c r="C5" s="34" t="s">
        <v>366</v>
      </c>
      <c r="D5" s="34" t="s">
        <v>362</v>
      </c>
      <c r="E5" s="35">
        <v>120</v>
      </c>
      <c r="F5" s="35">
        <v>54.9</v>
      </c>
      <c r="G5" s="34" t="s">
        <v>34</v>
      </c>
      <c r="H5" s="34" t="s">
        <v>364</v>
      </c>
    </row>
    <row r="6" spans="1:8" ht="12.75">
      <c r="A6" s="36" t="s">
        <v>367</v>
      </c>
      <c r="B6" s="51">
        <v>45110</v>
      </c>
      <c r="C6" s="34" t="s">
        <v>368</v>
      </c>
      <c r="D6" s="34" t="s">
        <v>369</v>
      </c>
      <c r="E6" s="35">
        <v>150</v>
      </c>
      <c r="F6" s="35">
        <v>98.9</v>
      </c>
      <c r="G6" s="62" t="s">
        <v>370</v>
      </c>
      <c r="H6" s="34" t="s">
        <v>289</v>
      </c>
    </row>
    <row r="7" spans="1:8" ht="12.75">
      <c r="A7" s="36" t="s">
        <v>150</v>
      </c>
      <c r="B7" s="51">
        <v>45110</v>
      </c>
      <c r="C7" s="34" t="s">
        <v>371</v>
      </c>
      <c r="D7" s="34" t="s">
        <v>362</v>
      </c>
      <c r="E7" s="35">
        <v>0</v>
      </c>
      <c r="F7" s="35">
        <v>335.9</v>
      </c>
      <c r="G7" s="24" t="s">
        <v>363</v>
      </c>
      <c r="H7" s="34" t="s">
        <v>289</v>
      </c>
    </row>
    <row r="8" spans="1:8" ht="12.75">
      <c r="A8" s="36" t="s">
        <v>150</v>
      </c>
      <c r="B8" s="51">
        <v>45110</v>
      </c>
      <c r="C8" s="63" t="s">
        <v>372</v>
      </c>
      <c r="D8" s="34" t="s">
        <v>362</v>
      </c>
      <c r="E8" s="35">
        <v>0</v>
      </c>
      <c r="F8" s="35">
        <v>748.9</v>
      </c>
      <c r="G8" s="24" t="s">
        <v>363</v>
      </c>
      <c r="H8" s="34" t="s">
        <v>289</v>
      </c>
    </row>
    <row r="9" spans="1:8" ht="12.75">
      <c r="A9" s="36" t="s">
        <v>373</v>
      </c>
      <c r="B9" s="51">
        <v>45113</v>
      </c>
      <c r="C9" s="34" t="s">
        <v>374</v>
      </c>
      <c r="D9" s="34" t="s">
        <v>375</v>
      </c>
      <c r="E9" s="35">
        <v>120</v>
      </c>
      <c r="F9" s="35">
        <v>54.9</v>
      </c>
      <c r="G9" s="34" t="s">
        <v>34</v>
      </c>
      <c r="H9" s="34" t="s">
        <v>364</v>
      </c>
    </row>
    <row r="10" spans="1:8" ht="12.75">
      <c r="A10" s="36" t="s">
        <v>376</v>
      </c>
      <c r="B10" s="51">
        <v>45113</v>
      </c>
      <c r="C10" s="64" t="s">
        <v>377</v>
      </c>
      <c r="D10" s="34" t="s">
        <v>362</v>
      </c>
      <c r="E10" s="35">
        <v>73.900000000000006</v>
      </c>
      <c r="F10" s="35">
        <v>73.900000000000006</v>
      </c>
      <c r="G10" s="34" t="s">
        <v>28</v>
      </c>
      <c r="H10" s="34" t="s">
        <v>364</v>
      </c>
    </row>
    <row r="11" spans="1:8" ht="12.75">
      <c r="A11" s="36" t="s">
        <v>378</v>
      </c>
      <c r="B11" s="51">
        <v>45113</v>
      </c>
      <c r="C11" s="34" t="s">
        <v>379</v>
      </c>
      <c r="D11" s="34" t="s">
        <v>380</v>
      </c>
      <c r="E11" s="35">
        <v>184.41</v>
      </c>
      <c r="F11" s="35">
        <v>184.41</v>
      </c>
      <c r="G11" s="34" t="s">
        <v>28</v>
      </c>
      <c r="H11" s="34" t="s">
        <v>289</v>
      </c>
    </row>
    <row r="12" spans="1:8" ht="12.75">
      <c r="A12" s="65" t="s">
        <v>381</v>
      </c>
      <c r="B12" s="51">
        <v>45114</v>
      </c>
      <c r="C12" s="34" t="s">
        <v>382</v>
      </c>
      <c r="D12" s="34" t="s">
        <v>362</v>
      </c>
      <c r="E12" s="35">
        <v>75.900000000000006</v>
      </c>
      <c r="F12" s="35">
        <v>88.9</v>
      </c>
      <c r="G12" s="34" t="s">
        <v>34</v>
      </c>
      <c r="H12" s="34" t="s">
        <v>364</v>
      </c>
    </row>
    <row r="13" spans="1:8" ht="12.75">
      <c r="A13" s="36" t="s">
        <v>383</v>
      </c>
      <c r="B13" s="51">
        <v>45117</v>
      </c>
      <c r="C13" s="66" t="s">
        <v>384</v>
      </c>
      <c r="D13" s="34" t="s">
        <v>354</v>
      </c>
      <c r="E13" s="35">
        <v>1850</v>
      </c>
      <c r="F13" s="35">
        <v>849.9</v>
      </c>
      <c r="G13" s="34" t="s">
        <v>34</v>
      </c>
      <c r="H13" s="34" t="s">
        <v>289</v>
      </c>
    </row>
    <row r="14" spans="1:8" ht="12.75">
      <c r="A14" s="36" t="s">
        <v>385</v>
      </c>
      <c r="B14" s="51">
        <v>45117</v>
      </c>
      <c r="C14" s="34" t="s">
        <v>386</v>
      </c>
      <c r="D14" s="34" t="s">
        <v>380</v>
      </c>
      <c r="E14" s="35">
        <v>400</v>
      </c>
      <c r="F14" s="35">
        <v>390.9</v>
      </c>
      <c r="G14" s="34" t="s">
        <v>34</v>
      </c>
      <c r="H14" s="34" t="s">
        <v>289</v>
      </c>
    </row>
    <row r="15" spans="1:8" ht="12.75">
      <c r="A15" s="36" t="s">
        <v>387</v>
      </c>
      <c r="B15" s="51">
        <v>45118</v>
      </c>
      <c r="C15" s="34" t="s">
        <v>388</v>
      </c>
      <c r="D15" s="34" t="s">
        <v>389</v>
      </c>
      <c r="E15" s="35">
        <v>200</v>
      </c>
      <c r="F15" s="35">
        <v>127.91</v>
      </c>
      <c r="G15" s="34" t="s">
        <v>34</v>
      </c>
      <c r="H15" s="34" t="s">
        <v>364</v>
      </c>
    </row>
    <row r="16" spans="1:8" ht="12.75">
      <c r="A16" s="36" t="s">
        <v>390</v>
      </c>
      <c r="B16" s="51">
        <v>45118</v>
      </c>
      <c r="C16" s="34" t="s">
        <v>391</v>
      </c>
      <c r="D16" s="34" t="s">
        <v>292</v>
      </c>
      <c r="E16" s="35">
        <v>100</v>
      </c>
      <c r="F16" s="35">
        <v>59.9</v>
      </c>
      <c r="G16" s="34" t="s">
        <v>44</v>
      </c>
      <c r="H16" s="34" t="s">
        <v>364</v>
      </c>
    </row>
    <row r="17" spans="1:8" ht="12.75">
      <c r="A17" s="22" t="s">
        <v>392</v>
      </c>
      <c r="B17" s="23">
        <v>45119</v>
      </c>
      <c r="C17" s="24" t="s">
        <v>393</v>
      </c>
      <c r="D17" s="24" t="s">
        <v>362</v>
      </c>
      <c r="E17" s="25">
        <v>160</v>
      </c>
      <c r="F17" s="25">
        <v>64.900000000000006</v>
      </c>
      <c r="G17" s="24" t="s">
        <v>394</v>
      </c>
      <c r="H17" s="34" t="s">
        <v>364</v>
      </c>
    </row>
    <row r="18" spans="1:8" ht="12.75">
      <c r="A18" s="36" t="s">
        <v>395</v>
      </c>
      <c r="B18" s="51">
        <v>45120</v>
      </c>
      <c r="C18" s="34" t="s">
        <v>396</v>
      </c>
      <c r="D18" s="24" t="s">
        <v>397</v>
      </c>
      <c r="E18" s="35">
        <v>590.9</v>
      </c>
      <c r="F18" s="35">
        <v>490</v>
      </c>
      <c r="G18" s="34" t="s">
        <v>34</v>
      </c>
      <c r="H18" s="34" t="s">
        <v>289</v>
      </c>
    </row>
    <row r="19" spans="1:8" ht="12.75">
      <c r="A19" s="36" t="s">
        <v>398</v>
      </c>
      <c r="B19" s="51">
        <v>45120</v>
      </c>
      <c r="C19" s="34" t="s">
        <v>399</v>
      </c>
      <c r="D19" s="34" t="s">
        <v>380</v>
      </c>
      <c r="E19" s="35">
        <v>150</v>
      </c>
      <c r="F19" s="35">
        <v>59.9</v>
      </c>
      <c r="G19" s="34" t="s">
        <v>34</v>
      </c>
      <c r="H19" s="34" t="s">
        <v>364</v>
      </c>
    </row>
    <row r="20" spans="1:8" ht="12.75">
      <c r="A20" s="36" t="s">
        <v>400</v>
      </c>
      <c r="B20" s="51">
        <v>45121</v>
      </c>
      <c r="C20" s="34" t="s">
        <v>401</v>
      </c>
      <c r="D20" s="34" t="s">
        <v>402</v>
      </c>
      <c r="E20" s="35">
        <v>90</v>
      </c>
      <c r="F20" s="35">
        <v>47.9</v>
      </c>
      <c r="G20" s="34" t="s">
        <v>34</v>
      </c>
      <c r="H20" s="34" t="s">
        <v>364</v>
      </c>
    </row>
    <row r="21" spans="1:8" ht="12.75">
      <c r="A21" s="36" t="s">
        <v>403</v>
      </c>
      <c r="B21" s="51">
        <v>45124</v>
      </c>
      <c r="C21" s="34" t="s">
        <v>404</v>
      </c>
      <c r="D21" s="34" t="s">
        <v>405</v>
      </c>
      <c r="E21" s="35">
        <v>159.9</v>
      </c>
      <c r="F21" s="35">
        <v>56.9</v>
      </c>
      <c r="G21" s="34" t="s">
        <v>34</v>
      </c>
      <c r="H21" s="34" t="s">
        <v>364</v>
      </c>
    </row>
    <row r="22" spans="1:8" ht="12.75">
      <c r="A22" s="36" t="s">
        <v>403</v>
      </c>
      <c r="B22" s="51">
        <v>45124</v>
      </c>
      <c r="C22" s="34" t="s">
        <v>406</v>
      </c>
      <c r="D22" s="34" t="s">
        <v>405</v>
      </c>
      <c r="E22" s="35">
        <v>159.9</v>
      </c>
      <c r="F22" s="35">
        <v>59.9</v>
      </c>
      <c r="G22" s="34" t="s">
        <v>34</v>
      </c>
      <c r="H22" s="34" t="s">
        <v>364</v>
      </c>
    </row>
    <row r="23" spans="1:8" ht="12.75">
      <c r="A23" s="36" t="s">
        <v>150</v>
      </c>
      <c r="B23" s="51">
        <v>45125</v>
      </c>
      <c r="C23" s="34" t="s">
        <v>407</v>
      </c>
      <c r="D23" s="24" t="s">
        <v>362</v>
      </c>
      <c r="E23" s="35">
        <v>0</v>
      </c>
      <c r="F23" s="35">
        <v>204.9</v>
      </c>
      <c r="G23" s="24" t="s">
        <v>363</v>
      </c>
      <c r="H23" s="34" t="s">
        <v>289</v>
      </c>
    </row>
    <row r="24" spans="1:8" ht="12.75">
      <c r="A24" s="15" t="s">
        <v>408</v>
      </c>
      <c r="B24" s="51">
        <v>45126</v>
      </c>
      <c r="C24" s="67" t="s">
        <v>409</v>
      </c>
      <c r="D24" s="34" t="s">
        <v>410</v>
      </c>
      <c r="E24" s="35">
        <v>225</v>
      </c>
      <c r="F24" s="35">
        <v>194.31</v>
      </c>
      <c r="G24" s="34" t="s">
        <v>34</v>
      </c>
      <c r="H24" s="34" t="s">
        <v>364</v>
      </c>
    </row>
    <row r="25" spans="1:8" ht="12.75">
      <c r="A25" s="15" t="s">
        <v>411</v>
      </c>
      <c r="B25" s="51">
        <v>45126</v>
      </c>
      <c r="C25" s="34" t="s">
        <v>412</v>
      </c>
      <c r="D25" s="34" t="s">
        <v>413</v>
      </c>
      <c r="E25" s="35">
        <v>300</v>
      </c>
      <c r="F25" s="35">
        <v>204.21</v>
      </c>
      <c r="G25" s="34" t="s">
        <v>34</v>
      </c>
      <c r="H25" s="34" t="s">
        <v>364</v>
      </c>
    </row>
    <row r="26" spans="1:8" ht="14.25">
      <c r="A26" s="16" t="s">
        <v>414</v>
      </c>
      <c r="B26" s="51">
        <v>45126</v>
      </c>
      <c r="C26" s="34" t="s">
        <v>415</v>
      </c>
      <c r="D26" s="34" t="s">
        <v>416</v>
      </c>
      <c r="E26" s="35">
        <v>380</v>
      </c>
      <c r="F26" s="35">
        <v>171.9</v>
      </c>
      <c r="G26" s="34" t="s">
        <v>34</v>
      </c>
      <c r="H26" s="34" t="s">
        <v>289</v>
      </c>
    </row>
    <row r="27" spans="1:8" ht="14.25">
      <c r="A27" s="57" t="s">
        <v>148</v>
      </c>
      <c r="B27" s="51">
        <v>45126</v>
      </c>
      <c r="C27" s="34" t="s">
        <v>417</v>
      </c>
      <c r="D27" s="34" t="s">
        <v>362</v>
      </c>
      <c r="E27" s="35">
        <v>0</v>
      </c>
      <c r="F27" s="35">
        <v>390.9</v>
      </c>
      <c r="G27" s="24" t="s">
        <v>363</v>
      </c>
      <c r="H27" s="34" t="s">
        <v>364</v>
      </c>
    </row>
    <row r="28" spans="1:8" ht="12.75">
      <c r="A28" s="36" t="s">
        <v>418</v>
      </c>
      <c r="B28" s="51">
        <v>45127</v>
      </c>
      <c r="C28" s="34" t="s">
        <v>419</v>
      </c>
      <c r="D28" s="34" t="s">
        <v>420</v>
      </c>
      <c r="E28" s="35">
        <v>120</v>
      </c>
      <c r="F28" s="35">
        <v>95.9</v>
      </c>
      <c r="G28" s="34" t="s">
        <v>270</v>
      </c>
      <c r="H28" s="34" t="s">
        <v>289</v>
      </c>
    </row>
    <row r="29" spans="1:8" ht="12.75">
      <c r="A29" s="36" t="s">
        <v>421</v>
      </c>
      <c r="B29" s="51">
        <v>45128</v>
      </c>
      <c r="C29" s="34" t="s">
        <v>422</v>
      </c>
      <c r="D29" s="34" t="s">
        <v>423</v>
      </c>
      <c r="E29" s="35">
        <v>679.9</v>
      </c>
      <c r="F29" s="35">
        <v>479.9</v>
      </c>
      <c r="G29" s="24" t="s">
        <v>394</v>
      </c>
      <c r="H29" s="34" t="s">
        <v>289</v>
      </c>
    </row>
    <row r="30" spans="1:8" ht="12.75">
      <c r="A30" s="22" t="s">
        <v>267</v>
      </c>
      <c r="B30" s="23">
        <v>45128</v>
      </c>
      <c r="C30" s="41" t="s">
        <v>424</v>
      </c>
      <c r="D30" s="24" t="s">
        <v>362</v>
      </c>
      <c r="E30" s="25">
        <v>0</v>
      </c>
      <c r="F30" s="25">
        <v>300</v>
      </c>
      <c r="G30" s="24" t="s">
        <v>425</v>
      </c>
      <c r="H30" s="24" t="s">
        <v>364</v>
      </c>
    </row>
    <row r="31" spans="1:8" ht="12.75">
      <c r="A31" s="22" t="s">
        <v>40</v>
      </c>
      <c r="B31" s="23">
        <v>45129</v>
      </c>
      <c r="C31" s="41" t="s">
        <v>426</v>
      </c>
      <c r="D31" s="24" t="s">
        <v>362</v>
      </c>
      <c r="E31" s="25">
        <v>72</v>
      </c>
      <c r="F31" s="25">
        <v>53.91</v>
      </c>
      <c r="G31" s="24" t="s">
        <v>394</v>
      </c>
      <c r="H31" s="34" t="s">
        <v>364</v>
      </c>
    </row>
    <row r="32" spans="1:8" ht="15.75" customHeight="1">
      <c r="A32" s="36" t="s">
        <v>427</v>
      </c>
      <c r="B32" s="51">
        <v>45129</v>
      </c>
      <c r="C32" s="34" t="s">
        <v>428</v>
      </c>
      <c r="D32" s="34" t="s">
        <v>354</v>
      </c>
      <c r="E32" s="35">
        <v>159.9</v>
      </c>
      <c r="F32" s="35">
        <v>159.9</v>
      </c>
      <c r="G32" s="34" t="s">
        <v>34</v>
      </c>
      <c r="H32" s="34" t="s">
        <v>289</v>
      </c>
    </row>
    <row r="33" spans="1:8" ht="12.75">
      <c r="A33" s="36" t="s">
        <v>429</v>
      </c>
      <c r="B33" s="51">
        <v>45133</v>
      </c>
      <c r="C33" s="34" t="s">
        <v>430</v>
      </c>
      <c r="D33" s="34" t="s">
        <v>362</v>
      </c>
      <c r="E33" s="35">
        <v>125</v>
      </c>
      <c r="F33" s="35">
        <v>104.9</v>
      </c>
      <c r="G33" s="34" t="s">
        <v>34</v>
      </c>
      <c r="H33" s="34" t="s">
        <v>289</v>
      </c>
    </row>
    <row r="34" spans="1:8" ht="12.75">
      <c r="A34" s="36" t="s">
        <v>40</v>
      </c>
      <c r="B34" s="51">
        <v>45133</v>
      </c>
      <c r="C34" s="68" t="s">
        <v>431</v>
      </c>
      <c r="D34" s="34" t="s">
        <v>362</v>
      </c>
      <c r="E34" s="35">
        <v>180</v>
      </c>
      <c r="F34" s="35">
        <v>58.41</v>
      </c>
      <c r="G34" s="34" t="s">
        <v>270</v>
      </c>
      <c r="H34" s="34" t="s">
        <v>364</v>
      </c>
    </row>
    <row r="35" spans="1:8" ht="12.75">
      <c r="A35" s="36" t="s">
        <v>432</v>
      </c>
      <c r="B35" s="51">
        <v>45134</v>
      </c>
      <c r="C35" s="34" t="s">
        <v>433</v>
      </c>
      <c r="D35" s="34" t="s">
        <v>354</v>
      </c>
      <c r="E35" s="35">
        <v>224</v>
      </c>
      <c r="F35" s="35">
        <v>171.9</v>
      </c>
      <c r="G35" s="34" t="s">
        <v>270</v>
      </c>
      <c r="H35" s="34" t="s">
        <v>289</v>
      </c>
    </row>
    <row r="36" spans="1:8" ht="12.75">
      <c r="A36" s="36" t="s">
        <v>434</v>
      </c>
      <c r="B36" s="51">
        <v>45136</v>
      </c>
      <c r="C36" s="34" t="s">
        <v>435</v>
      </c>
      <c r="D36" s="34" t="s">
        <v>380</v>
      </c>
      <c r="E36" s="35">
        <v>200</v>
      </c>
      <c r="F36" s="35">
        <v>70.900000000000006</v>
      </c>
      <c r="G36" s="34" t="s">
        <v>34</v>
      </c>
      <c r="H36" s="34" t="s">
        <v>289</v>
      </c>
    </row>
    <row r="37" spans="1:8" ht="14.25">
      <c r="A37" s="16" t="s">
        <v>436</v>
      </c>
      <c r="B37" s="51">
        <v>45138</v>
      </c>
      <c r="C37" s="34" t="s">
        <v>437</v>
      </c>
      <c r="D37" s="34" t="s">
        <v>389</v>
      </c>
      <c r="E37" s="35">
        <v>171.9</v>
      </c>
      <c r="F37" s="35">
        <v>171.9</v>
      </c>
      <c r="G37" s="34" t="s">
        <v>34</v>
      </c>
      <c r="H37" s="34" t="s">
        <v>364</v>
      </c>
    </row>
    <row r="38" spans="1:8" ht="12.75">
      <c r="A38" s="36"/>
      <c r="B38" s="51"/>
      <c r="C38" s="34"/>
      <c r="D38" s="34"/>
      <c r="E38" s="35"/>
      <c r="F38" s="35"/>
      <c r="G38" s="34"/>
      <c r="H38" s="34"/>
    </row>
    <row r="39" spans="1:8" ht="12.75">
      <c r="A39" s="33"/>
      <c r="B39" s="37"/>
      <c r="C39" s="61" t="s">
        <v>9</v>
      </c>
      <c r="D39" s="32">
        <f>SUM(E4:E38)</f>
        <v>7422.6099999999988</v>
      </c>
      <c r="E39" s="44"/>
      <c r="F39" s="44"/>
      <c r="G39" s="33"/>
      <c r="H39" s="33"/>
    </row>
    <row r="40" spans="1:8" ht="12.75">
      <c r="A40" s="29"/>
      <c r="B40" s="37"/>
      <c r="C40" s="61" t="s">
        <v>10</v>
      </c>
      <c r="D40" s="45">
        <f>SUM(F4:F38)</f>
        <v>6736.5599999999977</v>
      </c>
      <c r="E40" s="29"/>
      <c r="F40" s="29"/>
      <c r="G40" s="29"/>
      <c r="H40" s="29"/>
    </row>
    <row r="41" spans="1:8" ht="12.75">
      <c r="A41" s="29"/>
      <c r="B41" s="37"/>
      <c r="C41" s="61" t="s">
        <v>11</v>
      </c>
      <c r="D41" s="38" t="s">
        <v>438</v>
      </c>
      <c r="E41" s="29"/>
      <c r="F41" s="29"/>
      <c r="G41" s="29"/>
      <c r="H41" s="29"/>
    </row>
  </sheetData>
  <mergeCells count="2">
    <mergeCell ref="A1:H1"/>
    <mergeCell ref="A2:H2"/>
  </mergeCells>
  <hyperlinks>
    <hyperlink ref="C8" r:id="rId1" xr:uid="{00000000-0004-0000-08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RESUMO</vt:lpstr>
      <vt:lpstr>COMERCIAL</vt:lpstr>
      <vt:lpstr>PETROLINA</vt:lpstr>
      <vt:lpstr>ITABUNA</vt:lpstr>
      <vt:lpstr>JUAZEIRO</vt:lpstr>
      <vt:lpstr>JUAZEIRO DO NORTE</vt:lpstr>
      <vt:lpstr>SENHOR DO BONFIM</vt:lpstr>
      <vt:lpstr>DEZEMBRO</vt:lpstr>
      <vt:lpstr>OUTUBRO</vt:lpstr>
      <vt:lpstr>AGOSTO</vt:lpstr>
      <vt:lpstr>JULHO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Eric Alencar Vasconcelos</cp:lastModifiedBy>
  <cp:lastPrinted>2024-08-27T20:08:41Z</cp:lastPrinted>
  <dcterms:created xsi:type="dcterms:W3CDTF">2024-03-01T18:00:48Z</dcterms:created>
  <dcterms:modified xsi:type="dcterms:W3CDTF">2026-06-02T17:41:49Z</dcterms:modified>
</cp:coreProperties>
</file>